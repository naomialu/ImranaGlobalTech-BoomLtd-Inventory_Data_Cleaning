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LU\Documents\myUpwork\EXCEL_Data Quality and Analysis for Imrana Global Tech-Boom Ltd\Creating Structured Database_Excel&amp;SQL\Data Cleaning\"/>
    </mc:Choice>
  </mc:AlternateContent>
  <xr:revisionPtr revIDLastSave="0" documentId="13_ncr:1_{86BB7462-66FC-4BD0-B5BE-B4335B9B28E7}" xr6:coauthVersionLast="47" xr6:coauthVersionMax="47" xr10:uidLastSave="{00000000-0000-0000-0000-000000000000}"/>
  <bookViews>
    <workbookView xWindow="-120" yWindow="-120" windowWidth="20730" windowHeight="11160" activeTab="5" xr2:uid="{E1201F44-E42E-49FF-8E5E-517AEFF376BB}"/>
  </bookViews>
  <sheets>
    <sheet name="Sales" sheetId="5" r:id="rId1"/>
    <sheet name="Products" sheetId="4" r:id="rId2"/>
    <sheet name="Customers" sheetId="3" r:id="rId3"/>
    <sheet name="Calendar" sheetId="6" r:id="rId4"/>
    <sheet name="Sales_Pivots" sheetId="8" r:id="rId5"/>
    <sheet name="Sales_Dashboard" sheetId="10" r:id="rId6"/>
  </sheets>
  <definedNames>
    <definedName name="_xlnm._FilterDatabase" localSheetId="1" hidden="1">Products!$A$1:$L$107</definedName>
    <definedName name="_xlcn.WorksheetConnection_IMRANAGLOBALTECHBOOMLTD_ProductsInventory_2025.xlsxTable11" hidden="1">tblProducts[]</definedName>
    <definedName name="_xlcn.WorksheetConnection_Sales_Data_Model_Excel.xlsxtblCalendar1" hidden="1">tblCalendar[]</definedName>
    <definedName name="_xlcn.WorksheetConnection_Sales_Data_Model_Excel.xlsxtblCustomers1" hidden="1">tblCustomers[]</definedName>
    <definedName name="_xlcn.WorksheetConnection_Sales_Data_Model_Excel.xlsxtblSales1" hidden="1">tblSales[]</definedName>
    <definedName name="Average_Sales">Sales_Dashboard!$K$5</definedName>
    <definedName name="Profit">Sales_Dashboard!$N$5</definedName>
    <definedName name="Slicer_Category">#N/A</definedName>
    <definedName name="Slicer_Region">#N/A</definedName>
    <definedName name="Total_Order">Sales_Dashboard!$H$5</definedName>
    <definedName name="Total_Sales">Sales_Dashboard!$F$5</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ales" name="Fact_Sales" connection="WorksheetConnection_Sales_Data_Model_Excel.xlsx!tblSales"/>
          <x15:modelTable id="tblCustomers" name="Dim_Customers" connection="WorksheetConnection_Sales_Data_Model_Excel.xlsx!tblCustomers"/>
          <x15:modelTable id="tblCalendar" name="Dim_Calendar" connection="WorksheetConnection_Sales_Data_Model_Excel.xlsx!tblCalendar"/>
          <x15:modelTable id="Table1" name="Dim_Products" connection="WorksheetConnection_IMRANA GLOBAL TECH-BOOM LTD_Products Inventory_2025.xlsx!Table1"/>
        </x15:modelTables>
        <x15:modelRelationships>
          <x15:modelRelationship fromTable="Fact_Sales" fromColumn="Customer_id" toTable="Dim_Customers" toColumn="Customer ID"/>
          <x15:modelRelationship fromTable="Fact_Sales" fromColumn="Date" toTable="Dim_Calendar" toColumn="Date"/>
          <x15:modelRelationship fromTable="Fact_Sales" fromColumn="Product_id" toTable="Dim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 i="10" l="1"/>
  <c r="N5" i="10"/>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 i="5"/>
  <c r="H7" i="4"/>
  <c r="H5" i="10" l="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J7" i="5"/>
  <c r="J39" i="5"/>
  <c r="J68" i="5"/>
  <c r="J159" i="5"/>
  <c r="J164" i="5"/>
  <c r="J204" i="5"/>
  <c r="J34" i="5"/>
  <c r="J11" i="5"/>
  <c r="J16" i="5"/>
  <c r="J35" i="5"/>
  <c r="J59" i="5"/>
  <c r="J75" i="5"/>
  <c r="J163" i="5"/>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 i="3"/>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J131" i="5" l="1"/>
  <c r="J127" i="5"/>
  <c r="J233" i="5"/>
  <c r="J225" i="5"/>
  <c r="J217" i="5"/>
  <c r="J209" i="5"/>
  <c r="J201" i="5"/>
  <c r="J197" i="5"/>
  <c r="J193" i="5"/>
  <c r="J189" i="5"/>
  <c r="J185" i="5"/>
  <c r="J181" i="5"/>
  <c r="J177" i="5"/>
  <c r="J173" i="5"/>
  <c r="J169" i="5"/>
  <c r="J165" i="5"/>
  <c r="J161" i="5"/>
  <c r="J157" i="5"/>
  <c r="J153" i="5"/>
  <c r="J149" i="5"/>
  <c r="J145" i="5"/>
  <c r="J141" i="5"/>
  <c r="J137" i="5"/>
  <c r="J133" i="5"/>
  <c r="J129" i="5"/>
  <c r="J125" i="5"/>
  <c r="J121" i="5"/>
  <c r="J117" i="5"/>
  <c r="J113" i="5"/>
  <c r="J109" i="5"/>
  <c r="J105" i="5"/>
  <c r="J101" i="5"/>
  <c r="J97" i="5"/>
  <c r="J93" i="5"/>
  <c r="J89" i="5"/>
  <c r="J85" i="5"/>
  <c r="J81" i="5"/>
  <c r="J77" i="5"/>
  <c r="J73" i="5"/>
  <c r="J69" i="5"/>
  <c r="J65" i="5"/>
  <c r="J61" i="5"/>
  <c r="J57" i="5"/>
  <c r="J53" i="5"/>
  <c r="J49" i="5"/>
  <c r="J45" i="5"/>
  <c r="J41" i="5"/>
  <c r="J37" i="5"/>
  <c r="J33" i="5"/>
  <c r="J29" i="5"/>
  <c r="J25" i="5"/>
  <c r="J21" i="5"/>
  <c r="J17" i="5"/>
  <c r="J13" i="5"/>
  <c r="J9" i="5"/>
  <c r="J5" i="5"/>
  <c r="J106" i="5"/>
  <c r="J232" i="5"/>
  <c r="J228" i="5"/>
  <c r="J224" i="5"/>
  <c r="J220" i="5"/>
  <c r="J216" i="5"/>
  <c r="J212" i="5"/>
  <c r="J208" i="5"/>
  <c r="J200" i="5"/>
  <c r="J196" i="5"/>
  <c r="J192" i="5"/>
  <c r="J188" i="5"/>
  <c r="J184" i="5"/>
  <c r="J180" i="5"/>
  <c r="J176" i="5"/>
  <c r="J172" i="5"/>
  <c r="J168" i="5"/>
  <c r="J160" i="5"/>
  <c r="J156" i="5"/>
  <c r="J152" i="5"/>
  <c r="J148" i="5"/>
  <c r="J144" i="5"/>
  <c r="J140" i="5"/>
  <c r="J136" i="5"/>
  <c r="J132" i="5"/>
  <c r="J128" i="5"/>
  <c r="J124" i="5"/>
  <c r="J120" i="5"/>
  <c r="J116" i="5"/>
  <c r="J112" i="5"/>
  <c r="J108" i="5"/>
  <c r="J104" i="5"/>
  <c r="J100" i="5"/>
  <c r="J96" i="5"/>
  <c r="J92" i="5"/>
  <c r="J88" i="5"/>
  <c r="J84" i="5"/>
  <c r="J80" i="5"/>
  <c r="J76" i="5"/>
  <c r="J72" i="5"/>
  <c r="J64" i="5"/>
  <c r="J60" i="5"/>
  <c r="J56" i="5"/>
  <c r="J52" i="5"/>
  <c r="J48" i="5"/>
  <c r="J44" i="5"/>
  <c r="J40" i="5"/>
  <c r="J36" i="5"/>
  <c r="J32" i="5"/>
  <c r="J28" i="5"/>
  <c r="J24" i="5"/>
  <c r="J20" i="5"/>
  <c r="J12" i="5"/>
  <c r="J8" i="5"/>
  <c r="J4" i="5"/>
  <c r="J74" i="5"/>
  <c r="J231" i="5"/>
  <c r="J227" i="5"/>
  <c r="J223" i="5"/>
  <c r="J219" i="5"/>
  <c r="J215" i="5"/>
  <c r="J211" i="5"/>
  <c r="J207" i="5"/>
  <c r="J203" i="5"/>
  <c r="J199" i="5"/>
  <c r="J195" i="5"/>
  <c r="J191" i="5"/>
  <c r="J187" i="5"/>
  <c r="J183" i="5"/>
  <c r="J179" i="5"/>
  <c r="J175" i="5"/>
  <c r="J171" i="5"/>
  <c r="J167" i="5"/>
  <c r="J155" i="5"/>
  <c r="J151" i="5"/>
  <c r="J147" i="5"/>
  <c r="J143" i="5"/>
  <c r="J139" i="5"/>
  <c r="J135" i="5"/>
  <c r="J123" i="5"/>
  <c r="J119" i="5"/>
  <c r="J115" i="5"/>
  <c r="J111" i="5"/>
  <c r="J107" i="5"/>
  <c r="J103" i="5"/>
  <c r="J99" i="5"/>
  <c r="J95" i="5"/>
  <c r="J91" i="5"/>
  <c r="J87" i="5"/>
  <c r="J83" i="5"/>
  <c r="J79" i="5"/>
  <c r="J71" i="5"/>
  <c r="J67" i="5"/>
  <c r="J63" i="5"/>
  <c r="J55" i="5"/>
  <c r="J51" i="5"/>
  <c r="J47" i="5"/>
  <c r="J43" i="5"/>
  <c r="J31" i="5"/>
  <c r="J27" i="5"/>
  <c r="J23" i="5"/>
  <c r="J19" i="5"/>
  <c r="J15" i="5"/>
  <c r="J3" i="5"/>
  <c r="J229" i="5"/>
  <c r="J221" i="5"/>
  <c r="J213" i="5"/>
  <c r="J205" i="5"/>
  <c r="J234" i="5"/>
  <c r="J222" i="5"/>
  <c r="J218" i="5"/>
  <c r="J206" i="5"/>
  <c r="J202" i="5"/>
  <c r="J190" i="5"/>
  <c r="J186" i="5"/>
  <c r="J174" i="5"/>
  <c r="J170" i="5"/>
  <c r="J158" i="5"/>
  <c r="J154" i="5"/>
  <c r="J142" i="5"/>
  <c r="J138" i="5"/>
  <c r="J126" i="5"/>
  <c r="J122" i="5"/>
  <c r="J110" i="5"/>
  <c r="J98" i="5"/>
  <c r="J90" i="5"/>
  <c r="J82" i="5"/>
  <c r="J66" i="5"/>
  <c r="J58" i="5"/>
  <c r="J50" i="5"/>
  <c r="J42" i="5"/>
  <c r="J26" i="5"/>
  <c r="J18" i="5"/>
  <c r="J10" i="5"/>
  <c r="J2" i="5"/>
  <c r="J230" i="5"/>
  <c r="J226" i="5"/>
  <c r="J214" i="5"/>
  <c r="J210" i="5"/>
  <c r="J198" i="5"/>
  <c r="J194" i="5"/>
  <c r="J182" i="5"/>
  <c r="J178" i="5"/>
  <c r="J166" i="5"/>
  <c r="J162" i="5"/>
  <c r="J150" i="5"/>
  <c r="J146" i="5"/>
  <c r="J134" i="5"/>
  <c r="J130" i="5"/>
  <c r="J118" i="5"/>
  <c r="J114" i="5"/>
  <c r="J102" i="5"/>
  <c r="J94" i="5"/>
  <c r="J86" i="5"/>
  <c r="J78" i="5"/>
  <c r="J70" i="5"/>
  <c r="J62" i="5"/>
  <c r="J54" i="5"/>
  <c r="J46" i="5"/>
  <c r="J38" i="5"/>
  <c r="J30" i="5"/>
  <c r="J22" i="5"/>
  <c r="J14" i="5"/>
  <c r="J6" i="5"/>
  <c r="H106" i="4"/>
  <c r="I106" i="4" s="1"/>
  <c r="M106" i="4" s="1"/>
  <c r="H102" i="4"/>
  <c r="I102" i="4" s="1"/>
  <c r="M102" i="4" s="1"/>
  <c r="H98" i="4"/>
  <c r="I98" i="4" s="1"/>
  <c r="M98" i="4" s="1"/>
  <c r="H94" i="4"/>
  <c r="I94" i="4" s="1"/>
  <c r="M94" i="4" s="1"/>
  <c r="H90" i="4"/>
  <c r="I90" i="4" s="1"/>
  <c r="M90" i="4" s="1"/>
  <c r="H86" i="4"/>
  <c r="I86" i="4" s="1"/>
  <c r="M86" i="4" s="1"/>
  <c r="H82" i="4"/>
  <c r="I82" i="4" s="1"/>
  <c r="M82" i="4" s="1"/>
  <c r="H78" i="4"/>
  <c r="I78" i="4" s="1"/>
  <c r="M78" i="4" s="1"/>
  <c r="H74" i="4"/>
  <c r="I74" i="4" s="1"/>
  <c r="M74" i="4" s="1"/>
  <c r="H70" i="4"/>
  <c r="I70" i="4" s="1"/>
  <c r="M70" i="4" s="1"/>
  <c r="H66" i="4"/>
  <c r="I66" i="4" s="1"/>
  <c r="M66" i="4" s="1"/>
  <c r="H62" i="4"/>
  <c r="I62" i="4" s="1"/>
  <c r="M62" i="4" s="1"/>
  <c r="H58" i="4"/>
  <c r="I58" i="4" s="1"/>
  <c r="M58" i="4" s="1"/>
  <c r="H54" i="4"/>
  <c r="I54" i="4" s="1"/>
  <c r="M54" i="4" s="1"/>
  <c r="H50" i="4"/>
  <c r="I50" i="4" s="1"/>
  <c r="M50" i="4" s="1"/>
  <c r="H46" i="4"/>
  <c r="I46" i="4" s="1"/>
  <c r="M46" i="4" s="1"/>
  <c r="H42" i="4"/>
  <c r="I42" i="4" s="1"/>
  <c r="M42" i="4" s="1"/>
  <c r="H38" i="4"/>
  <c r="I38" i="4" s="1"/>
  <c r="M38" i="4" s="1"/>
  <c r="H34" i="4"/>
  <c r="I34" i="4" s="1"/>
  <c r="M34" i="4" s="1"/>
  <c r="H30" i="4"/>
  <c r="I30" i="4" s="1"/>
  <c r="M30" i="4" s="1"/>
  <c r="H26" i="4"/>
  <c r="I26" i="4" s="1"/>
  <c r="M26" i="4" s="1"/>
  <c r="H22" i="4"/>
  <c r="I22" i="4" s="1"/>
  <c r="M22" i="4" s="1"/>
  <c r="H18" i="4"/>
  <c r="I18" i="4" s="1"/>
  <c r="M18" i="4" s="1"/>
  <c r="H14" i="4"/>
  <c r="I14" i="4" s="1"/>
  <c r="M14" i="4" s="1"/>
  <c r="H10" i="4"/>
  <c r="I10" i="4" s="1"/>
  <c r="M10" i="4" s="1"/>
  <c r="H6" i="4"/>
  <c r="I6" i="4" s="1"/>
  <c r="M6" i="4" s="1"/>
  <c r="H105" i="4"/>
  <c r="I105" i="4" s="1"/>
  <c r="M105" i="4" s="1"/>
  <c r="H101" i="4"/>
  <c r="I101" i="4" s="1"/>
  <c r="M101" i="4" s="1"/>
  <c r="H97" i="4"/>
  <c r="I97" i="4" s="1"/>
  <c r="M97" i="4" s="1"/>
  <c r="H93" i="4"/>
  <c r="I93" i="4" s="1"/>
  <c r="M93" i="4" s="1"/>
  <c r="H89" i="4"/>
  <c r="I89" i="4" s="1"/>
  <c r="M89" i="4" s="1"/>
  <c r="H85" i="4"/>
  <c r="I85" i="4" s="1"/>
  <c r="M85" i="4" s="1"/>
  <c r="H81" i="4"/>
  <c r="I81" i="4" s="1"/>
  <c r="M81" i="4" s="1"/>
  <c r="H77" i="4"/>
  <c r="I77" i="4" s="1"/>
  <c r="M77" i="4" s="1"/>
  <c r="H73" i="4"/>
  <c r="I73" i="4" s="1"/>
  <c r="M73" i="4" s="1"/>
  <c r="H69" i="4"/>
  <c r="I69" i="4" s="1"/>
  <c r="M69" i="4" s="1"/>
  <c r="H65" i="4"/>
  <c r="I65" i="4" s="1"/>
  <c r="M65" i="4" s="1"/>
  <c r="H61" i="4"/>
  <c r="I61" i="4" s="1"/>
  <c r="M61" i="4" s="1"/>
  <c r="H57" i="4"/>
  <c r="I57" i="4" s="1"/>
  <c r="M57" i="4" s="1"/>
  <c r="H53" i="4"/>
  <c r="I53" i="4" s="1"/>
  <c r="M53" i="4" s="1"/>
  <c r="H49" i="4"/>
  <c r="I49" i="4" s="1"/>
  <c r="M49" i="4" s="1"/>
  <c r="H45" i="4"/>
  <c r="I45" i="4" s="1"/>
  <c r="M45" i="4" s="1"/>
  <c r="H41" i="4"/>
  <c r="I41" i="4" s="1"/>
  <c r="M41" i="4" s="1"/>
  <c r="H37" i="4"/>
  <c r="I37" i="4" s="1"/>
  <c r="M37" i="4" s="1"/>
  <c r="H33" i="4"/>
  <c r="I33" i="4" s="1"/>
  <c r="M33" i="4" s="1"/>
  <c r="H29" i="4"/>
  <c r="I29" i="4" s="1"/>
  <c r="M29" i="4" s="1"/>
  <c r="H25" i="4"/>
  <c r="H21" i="4"/>
  <c r="I21" i="4" s="1"/>
  <c r="M21" i="4" s="1"/>
  <c r="H17" i="4"/>
  <c r="I17" i="4" s="1"/>
  <c r="M17" i="4" s="1"/>
  <c r="H13" i="4"/>
  <c r="I13" i="4" s="1"/>
  <c r="M13" i="4" s="1"/>
  <c r="H9" i="4"/>
  <c r="I9" i="4" s="1"/>
  <c r="M9" i="4" s="1"/>
  <c r="H5" i="4"/>
  <c r="I5" i="4" s="1"/>
  <c r="M5" i="4" s="1"/>
  <c r="H104" i="4"/>
  <c r="I104" i="4" s="1"/>
  <c r="L104" i="4" s="1"/>
  <c r="H100" i="4"/>
  <c r="I100" i="4" s="1"/>
  <c r="L100" i="4" s="1"/>
  <c r="H96" i="4"/>
  <c r="I96" i="4" s="1"/>
  <c r="L96" i="4" s="1"/>
  <c r="H92" i="4"/>
  <c r="I92" i="4" s="1"/>
  <c r="L92" i="4" s="1"/>
  <c r="H88" i="4"/>
  <c r="I88" i="4" s="1"/>
  <c r="L88" i="4" s="1"/>
  <c r="H84" i="4"/>
  <c r="I84" i="4" s="1"/>
  <c r="L84" i="4" s="1"/>
  <c r="H80" i="4"/>
  <c r="I80" i="4" s="1"/>
  <c r="L80" i="4" s="1"/>
  <c r="H76" i="4"/>
  <c r="I76" i="4" s="1"/>
  <c r="L76" i="4" s="1"/>
  <c r="H72" i="4"/>
  <c r="I72" i="4" s="1"/>
  <c r="L72" i="4" s="1"/>
  <c r="H68" i="4"/>
  <c r="I68" i="4" s="1"/>
  <c r="L68" i="4" s="1"/>
  <c r="H64" i="4"/>
  <c r="I64" i="4" s="1"/>
  <c r="L64" i="4" s="1"/>
  <c r="H60" i="4"/>
  <c r="I60" i="4" s="1"/>
  <c r="L60" i="4" s="1"/>
  <c r="H56" i="4"/>
  <c r="I56" i="4" s="1"/>
  <c r="L56" i="4" s="1"/>
  <c r="H52" i="4"/>
  <c r="I52" i="4" s="1"/>
  <c r="L52" i="4" s="1"/>
  <c r="H48" i="4"/>
  <c r="I48" i="4" s="1"/>
  <c r="L48" i="4" s="1"/>
  <c r="H44" i="4"/>
  <c r="I44" i="4" s="1"/>
  <c r="L44" i="4" s="1"/>
  <c r="H40" i="4"/>
  <c r="I40" i="4" s="1"/>
  <c r="L40" i="4" s="1"/>
  <c r="H36" i="4"/>
  <c r="I36" i="4" s="1"/>
  <c r="L36" i="4" s="1"/>
  <c r="H32" i="4"/>
  <c r="I32" i="4" s="1"/>
  <c r="L32" i="4" s="1"/>
  <c r="H28" i="4"/>
  <c r="I28" i="4" s="1"/>
  <c r="L28" i="4" s="1"/>
  <c r="H24" i="4"/>
  <c r="I24" i="4" s="1"/>
  <c r="L24" i="4" s="1"/>
  <c r="H20" i="4"/>
  <c r="I20" i="4" s="1"/>
  <c r="L20" i="4" s="1"/>
  <c r="H16" i="4"/>
  <c r="I16" i="4" s="1"/>
  <c r="L16" i="4" s="1"/>
  <c r="H12" i="4"/>
  <c r="I12" i="4" s="1"/>
  <c r="L12" i="4" s="1"/>
  <c r="H8" i="4"/>
  <c r="I8" i="4" s="1"/>
  <c r="L8" i="4" s="1"/>
  <c r="H4" i="4"/>
  <c r="I4" i="4" s="1"/>
  <c r="L4" i="4" s="1"/>
  <c r="H107" i="4"/>
  <c r="I107" i="4" s="1"/>
  <c r="L107" i="4" s="1"/>
  <c r="H103" i="4"/>
  <c r="I103" i="4" s="1"/>
  <c r="L103" i="4" s="1"/>
  <c r="H99" i="4"/>
  <c r="I99" i="4" s="1"/>
  <c r="L99" i="4" s="1"/>
  <c r="H95" i="4"/>
  <c r="I95" i="4" s="1"/>
  <c r="L95" i="4" s="1"/>
  <c r="H91" i="4"/>
  <c r="I91" i="4" s="1"/>
  <c r="L91" i="4" s="1"/>
  <c r="H87" i="4"/>
  <c r="I87" i="4" s="1"/>
  <c r="L87" i="4" s="1"/>
  <c r="H83" i="4"/>
  <c r="I83" i="4" s="1"/>
  <c r="L83" i="4" s="1"/>
  <c r="H79" i="4"/>
  <c r="I79" i="4" s="1"/>
  <c r="L79" i="4" s="1"/>
  <c r="H75" i="4"/>
  <c r="I75" i="4" s="1"/>
  <c r="L75" i="4" s="1"/>
  <c r="H71" i="4"/>
  <c r="I71" i="4" s="1"/>
  <c r="L71" i="4" s="1"/>
  <c r="H67" i="4"/>
  <c r="I67" i="4" s="1"/>
  <c r="L67" i="4" s="1"/>
  <c r="H63" i="4"/>
  <c r="I63" i="4" s="1"/>
  <c r="L63" i="4" s="1"/>
  <c r="H59" i="4"/>
  <c r="I59" i="4" s="1"/>
  <c r="L59" i="4" s="1"/>
  <c r="H55" i="4"/>
  <c r="I55" i="4" s="1"/>
  <c r="L55" i="4" s="1"/>
  <c r="H51" i="4"/>
  <c r="I51" i="4" s="1"/>
  <c r="L51" i="4" s="1"/>
  <c r="H47" i="4"/>
  <c r="I47" i="4" s="1"/>
  <c r="L47" i="4" s="1"/>
  <c r="H43" i="4"/>
  <c r="I43" i="4" s="1"/>
  <c r="L43" i="4" s="1"/>
  <c r="H39" i="4"/>
  <c r="I39" i="4" s="1"/>
  <c r="L39" i="4" s="1"/>
  <c r="H35" i="4"/>
  <c r="I35" i="4" s="1"/>
  <c r="L35" i="4" s="1"/>
  <c r="H31" i="4"/>
  <c r="I31" i="4" s="1"/>
  <c r="L31" i="4" s="1"/>
  <c r="H27" i="4"/>
  <c r="I27" i="4" s="1"/>
  <c r="L27" i="4" s="1"/>
  <c r="H23" i="4"/>
  <c r="I23" i="4" s="1"/>
  <c r="L23" i="4" s="1"/>
  <c r="H19" i="4"/>
  <c r="I19" i="4" s="1"/>
  <c r="L19" i="4" s="1"/>
  <c r="H15" i="4"/>
  <c r="I15" i="4" s="1"/>
  <c r="L15" i="4" s="1"/>
  <c r="H11" i="4"/>
  <c r="I11" i="4" s="1"/>
  <c r="L11" i="4" s="1"/>
  <c r="I7" i="4"/>
  <c r="L7" i="4" s="1"/>
  <c r="H3" i="4"/>
  <c r="I3" i="4" s="1"/>
  <c r="L3" i="4" s="1"/>
  <c r="H2" i="4"/>
  <c r="I2" i="4" s="1"/>
  <c r="L2" i="4" s="1"/>
  <c r="I25" i="4"/>
  <c r="M25" i="4" s="1"/>
  <c r="F5" i="10" l="1"/>
  <c r="M104" i="4"/>
  <c r="M96" i="4"/>
  <c r="M88" i="4"/>
  <c r="M80" i="4"/>
  <c r="M72" i="4"/>
  <c r="M64" i="4"/>
  <c r="M56" i="4"/>
  <c r="M48" i="4"/>
  <c r="M40" i="4"/>
  <c r="M32" i="4"/>
  <c r="M24" i="4"/>
  <c r="M16" i="4"/>
  <c r="M8" i="4"/>
  <c r="M103" i="4"/>
  <c r="M95" i="4"/>
  <c r="M87" i="4"/>
  <c r="M79" i="4"/>
  <c r="M71" i="4"/>
  <c r="M63" i="4"/>
  <c r="M55" i="4"/>
  <c r="M47" i="4"/>
  <c r="M39" i="4"/>
  <c r="M31" i="4"/>
  <c r="M23" i="4"/>
  <c r="M15" i="4"/>
  <c r="M7" i="4"/>
  <c r="M2" i="4"/>
  <c r="M100" i="4"/>
  <c r="M92" i="4"/>
  <c r="M84" i="4"/>
  <c r="M76" i="4"/>
  <c r="M68" i="4"/>
  <c r="M60" i="4"/>
  <c r="M52" i="4"/>
  <c r="M44" i="4"/>
  <c r="M36" i="4"/>
  <c r="M28" i="4"/>
  <c r="M20" i="4"/>
  <c r="M12" i="4"/>
  <c r="M4" i="4"/>
  <c r="M107" i="4"/>
  <c r="M99" i="4"/>
  <c r="M91" i="4"/>
  <c r="M83" i="4"/>
  <c r="M75" i="4"/>
  <c r="M67" i="4"/>
  <c r="M59" i="4"/>
  <c r="M51" i="4"/>
  <c r="M43" i="4"/>
  <c r="M35" i="4"/>
  <c r="M27" i="4"/>
  <c r="M19" i="4"/>
  <c r="M11" i="4"/>
  <c r="M3" i="4"/>
  <c r="L106" i="4"/>
  <c r="L102" i="4"/>
  <c r="L98" i="4"/>
  <c r="L94" i="4"/>
  <c r="L90" i="4"/>
  <c r="L86" i="4"/>
  <c r="L82" i="4"/>
  <c r="L78" i="4"/>
  <c r="L74" i="4"/>
  <c r="L70" i="4"/>
  <c r="L66" i="4"/>
  <c r="L62" i="4"/>
  <c r="L58" i="4"/>
  <c r="L54" i="4"/>
  <c r="L50" i="4"/>
  <c r="L46" i="4"/>
  <c r="L42" i="4"/>
  <c r="L38" i="4"/>
  <c r="L34" i="4"/>
  <c r="L30" i="4"/>
  <c r="L26" i="4"/>
  <c r="L22" i="4"/>
  <c r="L18" i="4"/>
  <c r="L14" i="4"/>
  <c r="L10" i="4"/>
  <c r="L6" i="4"/>
  <c r="L101" i="4"/>
  <c r="L93" i="4"/>
  <c r="L85" i="4"/>
  <c r="L77" i="4"/>
  <c r="L69" i="4"/>
  <c r="L61" i="4"/>
  <c r="L53" i="4"/>
  <c r="L45" i="4"/>
  <c r="L37" i="4"/>
  <c r="L29" i="4"/>
  <c r="L21" i="4"/>
  <c r="L13" i="4"/>
  <c r="L9" i="4"/>
  <c r="L105" i="4"/>
  <c r="L97" i="4"/>
  <c r="L89" i="4"/>
  <c r="L81" i="4"/>
  <c r="L73" i="4"/>
  <c r="L65" i="4"/>
  <c r="L57" i="4"/>
  <c r="L49" i="4"/>
  <c r="L41" i="4"/>
  <c r="L33" i="4"/>
  <c r="L25" i="4"/>
  <c r="L17" i="4"/>
  <c r="L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C48D0-75F1-4161-9D73-D79E85A2473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9602A79-242D-4A22-B143-5CC17940F14C}" name="WorksheetConnection_IMRANA GLOBAL TECH-BOOM LTD_Products Inventory_2025.xlsx!Table1" type="102" refreshedVersion="7" minRefreshableVersion="5">
    <extLst>
      <ext xmlns:x15="http://schemas.microsoft.com/office/spreadsheetml/2010/11/main" uri="{DE250136-89BD-433C-8126-D09CA5730AF9}">
        <x15:connection id="Table1">
          <x15:rangePr sourceName="_xlcn.WorksheetConnection_IMRANAGLOBALTECHBOOMLTD_ProductsInventory_2025.xlsxTable11"/>
        </x15:connection>
      </ext>
    </extLst>
  </connection>
  <connection id="3" xr16:uid="{56327EE6-2B41-44C2-8A41-7B1FF431DC15}" name="WorksheetConnection_Sales_Data_Model_Excel.xlsx!tblCalendar" type="102" refreshedVersion="7" minRefreshableVersion="5">
    <extLst>
      <ext xmlns:x15="http://schemas.microsoft.com/office/spreadsheetml/2010/11/main" uri="{DE250136-89BD-433C-8126-D09CA5730AF9}">
        <x15:connection id="tblCalendar">
          <x15:rangePr sourceName="_xlcn.WorksheetConnection_Sales_Data_Model_Excel.xlsxtblCalendar1"/>
        </x15:connection>
      </ext>
    </extLst>
  </connection>
  <connection id="4" xr16:uid="{CB47EE2D-F465-4FD2-9F6E-9B372BFE4463}" name="WorksheetConnection_Sales_Data_Model_Excel.xlsx!tblCustomers" type="102" refreshedVersion="7" minRefreshableVersion="5">
    <extLst>
      <ext xmlns:x15="http://schemas.microsoft.com/office/spreadsheetml/2010/11/main" uri="{DE250136-89BD-433C-8126-D09CA5730AF9}">
        <x15:connection id="tblCustomers">
          <x15:rangePr sourceName="_xlcn.WorksheetConnection_Sales_Data_Model_Excel.xlsxtblCustomers1"/>
        </x15:connection>
      </ext>
    </extLst>
  </connection>
  <connection id="5" xr16:uid="{23F6AF88-45F4-4CEF-B0D6-A02BB13A0D34}" name="WorksheetConnection_Sales_Data_Model_Excel.xlsx!tblSales" type="102" refreshedVersion="7" minRefreshableVersion="5">
    <extLst>
      <ext xmlns:x15="http://schemas.microsoft.com/office/spreadsheetml/2010/11/main" uri="{DE250136-89BD-433C-8126-D09CA5730AF9}">
        <x15:connection id="tblSales">
          <x15:rangePr sourceName="_xlcn.WorksheetConnection_Sales_Data_Model_Excel.xlsxtblSales1"/>
        </x15:connection>
      </ext>
    </extLst>
  </connection>
</connections>
</file>

<file path=xl/sharedStrings.xml><?xml version="1.0" encoding="utf-8"?>
<sst xmlns="http://schemas.openxmlformats.org/spreadsheetml/2006/main" count="4068" uniqueCount="958">
  <si>
    <t>Category</t>
  </si>
  <si>
    <t>Fabricator</t>
  </si>
  <si>
    <t>P001</t>
  </si>
  <si>
    <t>Maize Sheller Pro</t>
  </si>
  <si>
    <t>P002</t>
  </si>
  <si>
    <t>Rice Thresher X2</t>
  </si>
  <si>
    <t>P003</t>
  </si>
  <si>
    <t>Groundnut Sheller</t>
  </si>
  <si>
    <t>P004</t>
  </si>
  <si>
    <t>Manual Plough</t>
  </si>
  <si>
    <t>P005</t>
  </si>
  <si>
    <t>Seed Planter Mk1</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</si>
  <si>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</si>
  <si>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</si>
  <si>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</si>
  <si>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</si>
  <si>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</si>
  <si>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</si>
  <si>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</si>
  <si>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</si>
  <si>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</si>
  <si>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</si>
  <si>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</si>
  <si>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</si>
  <si>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</si>
  <si>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</si>
  <si>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</si>
  <si>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</si>
  <si>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</si>
  <si>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</si>
  <si>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</si>
  <si>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</si>
  <si>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</si>
  <si>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</si>
  <si>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</si>
  <si>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</si>
  <si>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</si>
  <si>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</si>
  <si>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</si>
  <si>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</si>
  <si>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</si>
  <si>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</si>
  <si>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</si>
  <si>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</si>
  <si>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</si>
  <si>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</si>
  <si>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</si>
  <si>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</si>
  <si>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</si>
  <si>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</si>
  <si>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</si>
  <si>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</si>
  <si>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</si>
  <si>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</si>
  <si>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</si>
  <si>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</si>
  <si>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</si>
  <si>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</si>
  <si>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</si>
  <si>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</si>
  <si>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</si>
  <si>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</si>
  <si>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</si>
  <si>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</si>
  <si>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</si>
  <si>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</si>
  <si>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</si>
  <si>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</si>
  <si>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</si>
  <si>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</si>
  <si>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</si>
  <si>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</si>
  <si>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</si>
  <si>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</si>
  <si>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</si>
  <si>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</si>
  <si>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</si>
  <si>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</si>
  <si>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</si>
  <si>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</si>
  <si>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</si>
  <si>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</si>
  <si>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</si>
  <si>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</si>
  <si>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</si>
  <si>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</si>
  <si>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</si>
  <si>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</si>
  <si>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</si>
  <si>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</si>
  <si>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</si>
  <si>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</si>
  <si>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</si>
  <si>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</si>
  <si>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</si>
  <si>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</si>
  <si>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</si>
  <si>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</si>
  <si>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</si>
  <si>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</si>
  <si>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</si>
  <si>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</si>
  <si>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</si>
  <si>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</si>
  <si>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</si>
  <si>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</si>
  <si>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</si>
  <si>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</si>
  <si>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</si>
  <si>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</si>
  <si>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</si>
  <si>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</si>
  <si>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</si>
  <si>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Age</t>
  </si>
  <si>
    <t>Kaduna</t>
  </si>
  <si>
    <t>Kano</t>
  </si>
  <si>
    <t>Lagos</t>
  </si>
  <si>
    <t>Ibadan</t>
  </si>
  <si>
    <t>Aisha Bello</t>
  </si>
  <si>
    <t>Enugu</t>
  </si>
  <si>
    <t>Port Harcourt</t>
  </si>
  <si>
    <t>Tool Storage Box</t>
  </si>
  <si>
    <t>Water Trough</t>
  </si>
  <si>
    <t>Poultry Feeder</t>
  </si>
  <si>
    <t>Farm Produce Crate</t>
  </si>
  <si>
    <t>Tool Organizer Stand</t>
  </si>
  <si>
    <t>Poultry Nest Box</t>
  </si>
  <si>
    <t>Feed Storage Silo</t>
  </si>
  <si>
    <t>Livestock Feed Hopper</t>
  </si>
  <si>
    <t>Farm Produce Trolley</t>
  </si>
  <si>
    <t>Imrana Global Tech-Boom Ltd</t>
  </si>
  <si>
    <t xml:space="preserve">Status </t>
  </si>
  <si>
    <t>Maize Sheller</t>
  </si>
  <si>
    <t>Agricultural Machine</t>
  </si>
  <si>
    <t>Rice Thresher</t>
  </si>
  <si>
    <t>Groundnut Decorticator</t>
  </si>
  <si>
    <t>Cassava Grater</t>
  </si>
  <si>
    <t>Palm Oil Press</t>
  </si>
  <si>
    <t>Feed Mixer</t>
  </si>
  <si>
    <t>Poultry Drinker</t>
  </si>
  <si>
    <t>Fish Smoking Kiln</t>
  </si>
  <si>
    <t>Fish Feed Pelletizer</t>
  </si>
  <si>
    <t>Water Pump (2HP)</t>
  </si>
  <si>
    <t>Spraying Machine</t>
  </si>
  <si>
    <t>Solar Dryer</t>
  </si>
  <si>
    <t>Grain Cleaner</t>
  </si>
  <si>
    <t>Seed Planter</t>
  </si>
  <si>
    <t>Manual Weighing Scale</t>
  </si>
  <si>
    <t>Motorized Harvester</t>
  </si>
  <si>
    <t>Vegetable Slicer</t>
  </si>
  <si>
    <t>Meat Grinder</t>
  </si>
  <si>
    <t>Cold Room Panel</t>
  </si>
  <si>
    <t>Storage Equipment</t>
  </si>
  <si>
    <t>Wheelbarrow</t>
  </si>
  <si>
    <t>Hand Tiller</t>
  </si>
  <si>
    <t>Cocoa Dryer</t>
  </si>
  <si>
    <t>Rice Polisher</t>
  </si>
  <si>
    <t>Silo Storage Tank</t>
  </si>
  <si>
    <t>Fish Pond Aerator</t>
  </si>
  <si>
    <t>Egg Incubator</t>
  </si>
  <si>
    <t>Brooder Cage</t>
  </si>
  <si>
    <t>Fish Sorting Table</t>
  </si>
  <si>
    <t>Hydraulic Press</t>
  </si>
  <si>
    <t>Industrial Equipment</t>
  </si>
  <si>
    <t>Welding Machine</t>
  </si>
  <si>
    <t>Metal Cutting Saw</t>
  </si>
  <si>
    <t>Steel Work Table</t>
  </si>
  <si>
    <t>Fabrication Tools</t>
  </si>
  <si>
    <t>Protective Helmet</t>
  </si>
  <si>
    <t>Safety Equipment</t>
  </si>
  <si>
    <t>Safety Gloves</t>
  </si>
  <si>
    <t>Face Shield</t>
  </si>
  <si>
    <t>Tractor Trailer</t>
  </si>
  <si>
    <t>Power Generator (5KVA)</t>
  </si>
  <si>
    <t>Power Equipment</t>
  </si>
  <si>
    <t>Solar Inverter</t>
  </si>
  <si>
    <t>Battery Rack</t>
  </si>
  <si>
    <t>Fertilizer Spreader</t>
  </si>
  <si>
    <t>Lawn Mower</t>
  </si>
  <si>
    <t>Chainsaw</t>
  </si>
  <si>
    <t>Grain Bag Sealer</t>
  </si>
  <si>
    <t>Moisture Meter</t>
  </si>
  <si>
    <t>Water Tank Stand</t>
  </si>
  <si>
    <t>Mobile Fish Tank</t>
  </si>
  <si>
    <t>Seed Dryer</t>
  </si>
  <si>
    <t>Grain Conveyor</t>
  </si>
  <si>
    <t>Workshop Tool Cabinet</t>
  </si>
  <si>
    <t>Bolt &amp; Nut Set</t>
  </si>
  <si>
    <t>Steel Storage Rack</t>
  </si>
  <si>
    <t>Portable Work Light</t>
  </si>
  <si>
    <t>Fire Extinguisher Stand</t>
  </si>
  <si>
    <t>Mini Oil Expeller</t>
  </si>
  <si>
    <t>Grain Milling Machine</t>
  </si>
  <si>
    <t>Feed Storage Bin</t>
  </si>
  <si>
    <t>Water Hose Reel</t>
  </si>
  <si>
    <t>Drip Irrigation Kit</t>
  </si>
  <si>
    <t>Soil Testing Kit</t>
  </si>
  <si>
    <t>Hand Seeder</t>
  </si>
  <si>
    <t>Grain Scoop</t>
  </si>
  <si>
    <t>Fish Net</t>
  </si>
  <si>
    <t>Cold Storage Door</t>
  </si>
  <si>
    <t>Compost Turner</t>
  </si>
  <si>
    <t>Biomass Briquette Press</t>
  </si>
  <si>
    <t>Energy Equipment</t>
  </si>
  <si>
    <t>Solar Water Pump</t>
  </si>
  <si>
    <t>Battery Enclosure Box</t>
  </si>
  <si>
    <t>Greenhouse Frame</t>
  </si>
  <si>
    <t>Agricultural Structure</t>
  </si>
  <si>
    <t>Shade Net Stand</t>
  </si>
  <si>
    <t>Feed Weighing Scale</t>
  </si>
  <si>
    <t>Grain Moisture Dryer</t>
  </si>
  <si>
    <t>Fish Tank Stand</t>
  </si>
  <si>
    <t>Portable Smoke Oven</t>
  </si>
  <si>
    <t>Grain Bag Stitcher</t>
  </si>
  <si>
    <t>Workshop Vice</t>
  </si>
  <si>
    <t>Drill Press</t>
  </si>
  <si>
    <t>Angle Grinder</t>
  </si>
  <si>
    <t>Power Extension Reel</t>
  </si>
  <si>
    <t>Grain Sampling Probe</t>
  </si>
  <si>
    <t>Fish Feed Scoop</t>
  </si>
  <si>
    <t>Water Level Indicator</t>
  </si>
  <si>
    <t>Seed Storage Drum</t>
  </si>
  <si>
    <t>Farm Utility Cart</t>
  </si>
  <si>
    <t>Mini Chaff Cutter</t>
  </si>
  <si>
    <t>Rice Destoner</t>
  </si>
  <si>
    <t>Feed Pellet Cooler</t>
  </si>
  <si>
    <t>Workshop Air Compressor</t>
  </si>
  <si>
    <t>Solar Panel Mount</t>
  </si>
  <si>
    <t>Fish Harvesting Cage</t>
  </si>
  <si>
    <t>Grain Dryer Fan</t>
  </si>
  <si>
    <t>Farm Hand Tools Set</t>
  </si>
  <si>
    <t>Mobile Work Bench</t>
  </si>
  <si>
    <t>Customer ID</t>
  </si>
  <si>
    <t>CUST001</t>
  </si>
  <si>
    <t>Chinedu Okafor</t>
  </si>
  <si>
    <t>Retail</t>
  </si>
  <si>
    <t>CUST002</t>
  </si>
  <si>
    <t>Abuja</t>
  </si>
  <si>
    <t>Institutional</t>
  </si>
  <si>
    <t>CUST003</t>
  </si>
  <si>
    <t>Emeka Umeh</t>
  </si>
  <si>
    <t>Farmer Cooperative</t>
  </si>
  <si>
    <t>CUST004</t>
  </si>
  <si>
    <t>Halima Musa</t>
  </si>
  <si>
    <t>CUST005</t>
  </si>
  <si>
    <t>Kunle Adeyemi</t>
  </si>
  <si>
    <t>Ogun</t>
  </si>
  <si>
    <t>CUST006</t>
  </si>
  <si>
    <t>Sadiq Umar</t>
  </si>
  <si>
    <t>CUST007</t>
  </si>
  <si>
    <t>Sandra Adebayo</t>
  </si>
  <si>
    <t>CUST008</t>
  </si>
  <si>
    <t>Amara Nwosu</t>
  </si>
  <si>
    <t>CUST009</t>
  </si>
  <si>
    <t>Adetola Williams</t>
  </si>
  <si>
    <t>CUST010</t>
  </si>
  <si>
    <t>Fatima Abdullahi</t>
  </si>
  <si>
    <t>CUST011</t>
  </si>
  <si>
    <t>Oluwatobi Akinola</t>
  </si>
  <si>
    <t>CUST012</t>
  </si>
  <si>
    <t>Bashir Mohammed</t>
  </si>
  <si>
    <t>CUST013</t>
  </si>
  <si>
    <t>Peace Okeke</t>
  </si>
  <si>
    <t>CUST014</t>
  </si>
  <si>
    <t>Mariam Yusuf</t>
  </si>
  <si>
    <t>CUST015</t>
  </si>
  <si>
    <t>David Eze</t>
  </si>
  <si>
    <t>CUST016</t>
  </si>
  <si>
    <t>Racheal John</t>
  </si>
  <si>
    <t>CUST017</t>
  </si>
  <si>
    <t>Olufemi Adewale</t>
  </si>
  <si>
    <t>CUST018</t>
  </si>
  <si>
    <t>Zainab Sulaiman</t>
  </si>
  <si>
    <t>CUST019</t>
  </si>
  <si>
    <t>Ifunanya Obi</t>
  </si>
  <si>
    <t>CUST020</t>
  </si>
  <si>
    <t>Usman Bello</t>
  </si>
  <si>
    <t>CUST021</t>
  </si>
  <si>
    <t>Timileyin Afolabi</t>
  </si>
  <si>
    <t>CUST022</t>
  </si>
  <si>
    <t>Aminat Hassan</t>
  </si>
  <si>
    <t>CUST023</t>
  </si>
  <si>
    <t>Emmanuel Nwachukwu</t>
  </si>
  <si>
    <t>CUST024</t>
  </si>
  <si>
    <t>Halimat Taiwo</t>
  </si>
  <si>
    <t>CUST025</t>
  </si>
  <si>
    <t>Abdulrahman Yusuf</t>
  </si>
  <si>
    <t>CUST026</t>
  </si>
  <si>
    <t>Joyce Okon</t>
  </si>
  <si>
    <t>CUST027</t>
  </si>
  <si>
    <t>Victor Adekunle</t>
  </si>
  <si>
    <t>CUST028</t>
  </si>
  <si>
    <t>Hauwa Ali</t>
  </si>
  <si>
    <t>CUST029</t>
  </si>
  <si>
    <t>Sunday Ejiro</t>
  </si>
  <si>
    <t>CUST030</t>
  </si>
  <si>
    <t>Esther Peter</t>
  </si>
  <si>
    <t>CUST031</t>
  </si>
  <si>
    <t>Chukwuemeka Igwe</t>
  </si>
  <si>
    <t>CUST032</t>
  </si>
  <si>
    <t>Grace Nnadi</t>
  </si>
  <si>
    <t>CUST033</t>
  </si>
  <si>
    <t>Halima Abdullahi</t>
  </si>
  <si>
    <t>CUST034</t>
  </si>
  <si>
    <t>Joseph Anene</t>
  </si>
  <si>
    <t>CUST035</t>
  </si>
  <si>
    <t>Lilian Ajayi</t>
  </si>
  <si>
    <t>CUST036</t>
  </si>
  <si>
    <t>Mohammed Lawal</t>
  </si>
  <si>
    <t>CUST037</t>
  </si>
  <si>
    <t>Pascal Chukwu</t>
  </si>
  <si>
    <t>CUST038</t>
  </si>
  <si>
    <t>Rebecca John</t>
  </si>
  <si>
    <t>CUST039</t>
  </si>
  <si>
    <t>Muhammad Sani</t>
  </si>
  <si>
    <t>CUST040</t>
  </si>
  <si>
    <t>Joy Okafor</t>
  </si>
  <si>
    <t>CUST041</t>
  </si>
  <si>
    <t>Kemi Olatunde</t>
  </si>
  <si>
    <t>CUST042</t>
  </si>
  <si>
    <t>Ahmed Ibrahim</t>
  </si>
  <si>
    <t>CUST043</t>
  </si>
  <si>
    <t>Precious Obi</t>
  </si>
  <si>
    <t>CUST044</t>
  </si>
  <si>
    <t>Sarah Chima</t>
  </si>
  <si>
    <t>CUST045</t>
  </si>
  <si>
    <t>Aliyu Musa</t>
  </si>
  <si>
    <t>CUST046</t>
  </si>
  <si>
    <t>Miriam Okoro</t>
  </si>
  <si>
    <t>CUST047</t>
  </si>
  <si>
    <t>Suleiman Bashir</t>
  </si>
  <si>
    <t>CUST048</t>
  </si>
  <si>
    <t>Chika Eze</t>
  </si>
  <si>
    <t>CUST049</t>
  </si>
  <si>
    <t>Funke Adeyemi</t>
  </si>
  <si>
    <t>CUST050</t>
  </si>
  <si>
    <t>Emeka Igbo</t>
  </si>
  <si>
    <t>CUST051</t>
  </si>
  <si>
    <t>Halima Abubakar</t>
  </si>
  <si>
    <t>CUST052</t>
  </si>
  <si>
    <t>Adamu Bello</t>
  </si>
  <si>
    <t>CUST053</t>
  </si>
  <si>
    <t>Nneka Okeke</t>
  </si>
  <si>
    <t>CUST054</t>
  </si>
  <si>
    <t>Aisha Mohammed</t>
  </si>
  <si>
    <t>CUST055</t>
  </si>
  <si>
    <t>Daniel Peter</t>
  </si>
  <si>
    <t>CUST056</t>
  </si>
  <si>
    <t>Joy Uche</t>
  </si>
  <si>
    <t>CUST057</t>
  </si>
  <si>
    <t>Abdullahi Sani</t>
  </si>
  <si>
    <t>CUST058</t>
  </si>
  <si>
    <t>Chinelo Okafor</t>
  </si>
  <si>
    <t>CUST059</t>
  </si>
  <si>
    <t>Zainab Abdullahi</t>
  </si>
  <si>
    <t>CUST060</t>
  </si>
  <si>
    <t>Michael Ade</t>
  </si>
  <si>
    <t>CUST061</t>
  </si>
  <si>
    <t>Oluwaseun Adebayo</t>
  </si>
  <si>
    <t>CUST062</t>
  </si>
  <si>
    <t>Salatu Abdullahi</t>
  </si>
  <si>
    <t>CUST063</t>
  </si>
  <si>
    <t>Benedict Eze</t>
  </si>
  <si>
    <t>CUST064</t>
  </si>
  <si>
    <t>Lydia John</t>
  </si>
  <si>
    <t>CUST065</t>
  </si>
  <si>
    <t>Aliyu Yusuf</t>
  </si>
  <si>
    <t>CUST066</t>
  </si>
  <si>
    <t>Patience Umeh</t>
  </si>
  <si>
    <t>CUST067</t>
  </si>
  <si>
    <t>Tope Okunola</t>
  </si>
  <si>
    <t>CUST068</t>
  </si>
  <si>
    <t>Halimat Lawal</t>
  </si>
  <si>
    <t>CUST069</t>
  </si>
  <si>
    <t>Chukwu David</t>
  </si>
  <si>
    <t>CUST070</t>
  </si>
  <si>
    <t>Ruth Peter</t>
  </si>
  <si>
    <t>CUST071</t>
  </si>
  <si>
    <t>Ayodele Akin</t>
  </si>
  <si>
    <t>CUST072</t>
  </si>
  <si>
    <t>Usman Danjuma</t>
  </si>
  <si>
    <t>CUST073</t>
  </si>
  <si>
    <t>Nkiru Obi</t>
  </si>
  <si>
    <t>CUST074</t>
  </si>
  <si>
    <t>Hadiza Ali</t>
  </si>
  <si>
    <t>CUST075</t>
  </si>
  <si>
    <t>Ahmed Yusuf</t>
  </si>
  <si>
    <t>CUST076</t>
  </si>
  <si>
    <t>Funmilayo Akintola</t>
  </si>
  <si>
    <t>CUST077</t>
  </si>
  <si>
    <t>Sa’adu Muhammed</t>
  </si>
  <si>
    <t>CUST078</t>
  </si>
  <si>
    <t>Barakat Lawal</t>
  </si>
  <si>
    <t>CUST079</t>
  </si>
  <si>
    <t>Blessing Egwu</t>
  </si>
  <si>
    <t>CUST080</t>
  </si>
  <si>
    <t>Timothy Okeke</t>
  </si>
  <si>
    <t>CUST081</t>
  </si>
  <si>
    <t>Patience Adebisi</t>
  </si>
  <si>
    <t>CUST082</t>
  </si>
  <si>
    <t>Oluwafunke Ayo</t>
  </si>
  <si>
    <t>CUST083</t>
  </si>
  <si>
    <t>Somtochukwu Eze</t>
  </si>
  <si>
    <t>CUST084</t>
  </si>
  <si>
    <t>Rachael Chukwu</t>
  </si>
  <si>
    <t>CUST085</t>
  </si>
  <si>
    <t>Ahmed Bello</t>
  </si>
  <si>
    <t>CUST086</t>
  </si>
  <si>
    <t>Joy Alade</t>
  </si>
  <si>
    <t>CUST087</t>
  </si>
  <si>
    <t>Suleiman Ahmed</t>
  </si>
  <si>
    <t>CUST088</t>
  </si>
  <si>
    <t>Chioma Ude</t>
  </si>
  <si>
    <t>CUST089</t>
  </si>
  <si>
    <t>Abubakar Sani</t>
  </si>
  <si>
    <t>CUST090</t>
  </si>
  <si>
    <t>Ebere Okoro</t>
  </si>
  <si>
    <t>CUST091</t>
  </si>
  <si>
    <t>Ify Obi</t>
  </si>
  <si>
    <t>CUST092</t>
  </si>
  <si>
    <t>Mohammed Abdullahi</t>
  </si>
  <si>
    <t>CUST093</t>
  </si>
  <si>
    <t>Joyce Eze</t>
  </si>
  <si>
    <t>CUST094</t>
  </si>
  <si>
    <t>Amina Musa</t>
  </si>
  <si>
    <t>CUST095</t>
  </si>
  <si>
    <t>Stephen John</t>
  </si>
  <si>
    <t>CUST096</t>
  </si>
  <si>
    <t>Habibat Bello</t>
  </si>
  <si>
    <t>CUST097</t>
  </si>
  <si>
    <t>Obinna Nwosu</t>
  </si>
  <si>
    <t>CUST098</t>
  </si>
  <si>
    <t>Kudirat Ahmed</t>
  </si>
  <si>
    <t>CUST099</t>
  </si>
  <si>
    <t>Chukwuemeka John</t>
  </si>
  <si>
    <t>CUST100</t>
  </si>
  <si>
    <t>Halimat Okon</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</si>
  <si>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</si>
  <si>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</si>
  <si>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</si>
  <si>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</si>
  <si>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</si>
  <si>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</si>
  <si>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</si>
  <si>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</si>
  <si>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</si>
  <si>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</si>
  <si>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</si>
  <si>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</si>
  <si>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</si>
  <si>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</si>
  <si>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</si>
  <si>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</si>
  <si>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</si>
  <si>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</si>
  <si>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</si>
  <si>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</si>
  <si>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</si>
  <si>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</si>
  <si>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</si>
  <si>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</si>
  <si>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</si>
  <si>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</si>
  <si>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</si>
  <si>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</si>
  <si>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</si>
  <si>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</si>
  <si>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</si>
  <si>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</si>
  <si>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</si>
  <si>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</si>
  <si>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</si>
  <si>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</si>
  <si>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</si>
  <si>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</si>
  <si>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</si>
  <si>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</si>
  <si>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</si>
  <si>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</si>
  <si>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</si>
  <si>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</si>
  <si>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</si>
  <si>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</si>
  <si>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</si>
  <si>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</si>
  <si>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</si>
  <si>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</si>
  <si>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</si>
  <si>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</si>
  <si>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</si>
  <si>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</si>
  <si>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</si>
  <si>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</si>
  <si>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</si>
  <si>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</si>
  <si>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</si>
  <si>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</si>
  <si>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</si>
  <si>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</si>
  <si>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</si>
  <si>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</si>
  <si>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</si>
  <si>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</si>
  <si>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</si>
  <si>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</si>
  <si>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</si>
  <si>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</si>
  <si>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</si>
  <si>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</si>
  <si>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</si>
  <si>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</si>
  <si>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</si>
  <si>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</si>
  <si>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</si>
  <si>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</si>
  <si>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</si>
  <si>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</si>
  <si>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</si>
  <si>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</si>
  <si>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</si>
  <si>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</si>
  <si>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</si>
  <si>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</si>
  <si>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</si>
  <si>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</si>
  <si>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</si>
  <si>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</si>
  <si>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Maryam Yusuf</t>
  </si>
  <si>
    <t>Daniel Musa</t>
  </si>
  <si>
    <t>Linda Okeke</t>
  </si>
  <si>
    <t>Josephine Dan</t>
  </si>
  <si>
    <t>Michael Obi</t>
  </si>
  <si>
    <t>Esther Chukwu</t>
  </si>
  <si>
    <t>Patrick Adebayo</t>
  </si>
  <si>
    <t>Sophia Ade</t>
  </si>
  <si>
    <t>Emmanuel John</t>
  </si>
  <si>
    <t>Ruth Esther</t>
  </si>
  <si>
    <t>Abiola Adeniyi</t>
  </si>
  <si>
    <t>Idris Sulaiman</t>
  </si>
  <si>
    <t>Comfort Eze</t>
  </si>
  <si>
    <t>Rasheedat Bello</t>
  </si>
  <si>
    <t>Victor Amadi</t>
  </si>
  <si>
    <t>Florence Umeh</t>
  </si>
  <si>
    <t>Lawrence Okoro</t>
  </si>
  <si>
    <t>Grace Akinola</t>
  </si>
  <si>
    <t>Umar Mohammed</t>
  </si>
  <si>
    <t>Sade Afolabi</t>
  </si>
  <si>
    <t>Chika Nnadi</t>
  </si>
  <si>
    <t>Jide Adekunle</t>
  </si>
  <si>
    <t>Hadiza Abubakar</t>
  </si>
  <si>
    <t>Samuel Eze</t>
  </si>
  <si>
    <t>Taiwo Olatunji</t>
  </si>
  <si>
    <t>Hope Chukwu</t>
  </si>
  <si>
    <t>Farouk Bello</t>
  </si>
  <si>
    <t>Joyce Akpan</t>
  </si>
  <si>
    <t>Simon Peter</t>
  </si>
  <si>
    <t>Rebecca Ayo</t>
  </si>
  <si>
    <t>Blessing Nwachukwu</t>
  </si>
  <si>
    <t>Timothy Daniel</t>
  </si>
  <si>
    <t>Sarah Umar</t>
  </si>
  <si>
    <t>Joseph Paul</t>
  </si>
  <si>
    <t>Mildred Okafor</t>
  </si>
  <si>
    <t>Abdullah Musa</t>
  </si>
  <si>
    <t>Oluchi Nwosu</t>
  </si>
  <si>
    <t>Bukola Adeyemi</t>
  </si>
  <si>
    <t>Chinaza Eze</t>
  </si>
  <si>
    <t>Felix Johnson</t>
  </si>
  <si>
    <t>Mercy Okeke</t>
  </si>
  <si>
    <t>Victor Chima</t>
  </si>
  <si>
    <t>Patience Nwankwo</t>
  </si>
  <si>
    <t>Stephen Ade</t>
  </si>
  <si>
    <t>Aisha Suleman</t>
  </si>
  <si>
    <t>Olalekan Akin</t>
  </si>
  <si>
    <t>Danladi Ibrahim</t>
  </si>
  <si>
    <t>Victoria Eze</t>
  </si>
  <si>
    <t>Obinna Chukwu</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</si>
  <si>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</si>
  <si>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</si>
  <si>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</si>
  <si>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</si>
  <si>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</si>
  <si>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</si>
  <si>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</si>
  <si>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</si>
  <si>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</si>
  <si>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</si>
  <si>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</si>
  <si>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</si>
  <si>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</si>
  <si>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</si>
  <si>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</si>
  <si>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</si>
  <si>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</si>
  <si>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</si>
  <si>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</si>
  <si>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</si>
  <si>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</si>
  <si>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</si>
  <si>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</si>
  <si>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</si>
  <si>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</si>
  <si>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</si>
  <si>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</si>
  <si>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</si>
  <si>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</si>
  <si>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</si>
  <si>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</si>
  <si>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</si>
  <si>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</si>
  <si>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</si>
  <si>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</si>
  <si>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</si>
  <si>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</si>
  <si>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</si>
  <si>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</si>
  <si>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</si>
  <si>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</si>
  <si>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</si>
  <si>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</si>
  <si>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</si>
  <si>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</si>
  <si>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</si>
  <si>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</si>
  <si>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</si>
  <si>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</si>
  <si>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</si>
  <si>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</si>
  <si>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</si>
  <si>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</si>
  <si>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</si>
  <si>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</si>
  <si>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</si>
  <si>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</si>
  <si>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</si>
  <si>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</si>
  <si>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</si>
  <si>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Customer Name</t>
  </si>
  <si>
    <t>Phone Number</t>
  </si>
  <si>
    <t>Customer Type</t>
  </si>
  <si>
    <t>Purchase Type</t>
  </si>
  <si>
    <t>SAL001</t>
  </si>
  <si>
    <t>Cash</t>
  </si>
  <si>
    <t>SAL002</t>
  </si>
  <si>
    <t>Transfer</t>
  </si>
  <si>
    <t>SAL003</t>
  </si>
  <si>
    <t>POS</t>
  </si>
  <si>
    <t>Segun Ajayi</t>
  </si>
  <si>
    <t>SAL004</t>
  </si>
  <si>
    <t>Ebele Okoro</t>
  </si>
  <si>
    <t>SAL005</t>
  </si>
  <si>
    <t>SAL006</t>
  </si>
  <si>
    <t>Sadiq Bello</t>
  </si>
  <si>
    <t>SAL007</t>
  </si>
  <si>
    <t>SAL008</t>
  </si>
  <si>
    <t>SAL009</t>
  </si>
  <si>
    <t>SAL010</t>
  </si>
  <si>
    <t>SAL011</t>
  </si>
  <si>
    <t>SAL012</t>
  </si>
  <si>
    <t>SAL013</t>
  </si>
  <si>
    <t>SAL014</t>
  </si>
  <si>
    <t>SAL015</t>
  </si>
  <si>
    <t>SAL016</t>
  </si>
  <si>
    <t>SAL017</t>
  </si>
  <si>
    <t>SAL018</t>
  </si>
  <si>
    <t>SAL019</t>
  </si>
  <si>
    <t>SAL020</t>
  </si>
  <si>
    <t>SAL021</t>
  </si>
  <si>
    <t>SAL022</t>
  </si>
  <si>
    <t>SAL023</t>
  </si>
  <si>
    <t>SAL024</t>
  </si>
  <si>
    <t>SAL025</t>
  </si>
  <si>
    <t>SAL026</t>
  </si>
  <si>
    <t>SAL027</t>
  </si>
  <si>
    <t>SAL028</t>
  </si>
  <si>
    <t>SAL029</t>
  </si>
  <si>
    <t>SAL030</t>
  </si>
  <si>
    <t>SAL031</t>
  </si>
  <si>
    <t>SAL032</t>
  </si>
  <si>
    <t>SAL033</t>
  </si>
  <si>
    <t>SAL034</t>
  </si>
  <si>
    <t>SAL035</t>
  </si>
  <si>
    <t>SAL036</t>
  </si>
  <si>
    <t>SAL037</t>
  </si>
  <si>
    <t>SAL038</t>
  </si>
  <si>
    <t>SAL039</t>
  </si>
  <si>
    <t>SAL040</t>
  </si>
  <si>
    <t>SAL041</t>
  </si>
  <si>
    <t>SAL042</t>
  </si>
  <si>
    <t>SAL043</t>
  </si>
  <si>
    <t>SAL044</t>
  </si>
  <si>
    <t>SAL045</t>
  </si>
  <si>
    <t>SAL046</t>
  </si>
  <si>
    <t>SAL047</t>
  </si>
  <si>
    <t>SAL048</t>
  </si>
  <si>
    <t>SAL049</t>
  </si>
  <si>
    <t>SAL050</t>
  </si>
  <si>
    <t>SAL051</t>
  </si>
  <si>
    <t>SAL052</t>
  </si>
  <si>
    <t>SAL053</t>
  </si>
  <si>
    <t>SAL054</t>
  </si>
  <si>
    <t>SAL055</t>
  </si>
  <si>
    <t>SAL056</t>
  </si>
  <si>
    <t>SAL057</t>
  </si>
  <si>
    <t>SAL058</t>
  </si>
  <si>
    <t>SAL059</t>
  </si>
  <si>
    <t>SAL060</t>
  </si>
  <si>
    <t>SAL061</t>
  </si>
  <si>
    <t>SAL062</t>
  </si>
  <si>
    <t>SAL063</t>
  </si>
  <si>
    <t>SAL064</t>
  </si>
  <si>
    <t>SAL065</t>
  </si>
  <si>
    <t>SAL066</t>
  </si>
  <si>
    <t>SAL067</t>
  </si>
  <si>
    <t>SAL068</t>
  </si>
  <si>
    <t>SAL069</t>
  </si>
  <si>
    <t>SAL070</t>
  </si>
  <si>
    <t>SAL071</t>
  </si>
  <si>
    <t>SAL072</t>
  </si>
  <si>
    <t>SAL073</t>
  </si>
  <si>
    <t>SAL074</t>
  </si>
  <si>
    <t>SAL075</t>
  </si>
  <si>
    <t>SAL076</t>
  </si>
  <si>
    <t>SAL077</t>
  </si>
  <si>
    <t>SAL078</t>
  </si>
  <si>
    <t>SAL079</t>
  </si>
  <si>
    <t>SAL080</t>
  </si>
  <si>
    <t>SAL081</t>
  </si>
  <si>
    <t>SAL082</t>
  </si>
  <si>
    <t>SAL083</t>
  </si>
  <si>
    <t>SAL084</t>
  </si>
  <si>
    <t>SAL085</t>
  </si>
  <si>
    <t>SAL086</t>
  </si>
  <si>
    <t>SAL087</t>
  </si>
  <si>
    <t>SAL088</t>
  </si>
  <si>
    <t>SAL089</t>
  </si>
  <si>
    <t>SAL090</t>
  </si>
  <si>
    <t>SAL091</t>
  </si>
  <si>
    <t>SAL092</t>
  </si>
  <si>
    <t>SAL093</t>
  </si>
  <si>
    <t>SAL094</t>
  </si>
  <si>
    <t>SAL095</t>
  </si>
  <si>
    <t>SAL096</t>
  </si>
  <si>
    <t>SAL097</t>
  </si>
  <si>
    <t>SAL098</t>
  </si>
  <si>
    <t>SAL099</t>
  </si>
  <si>
    <t>SAL100</t>
  </si>
  <si>
    <t>SAL101</t>
  </si>
  <si>
    <t>SAL102</t>
  </si>
  <si>
    <t>SAL103</t>
  </si>
  <si>
    <t>SAL104</t>
  </si>
  <si>
    <t>SAL105</t>
  </si>
  <si>
    <t>SAL106</t>
  </si>
  <si>
    <t>SAL107</t>
  </si>
  <si>
    <t>SAL108</t>
  </si>
  <si>
    <t>SAL109</t>
  </si>
  <si>
    <t>SAL110</t>
  </si>
  <si>
    <t>SAL111</t>
  </si>
  <si>
    <t>SAL112</t>
  </si>
  <si>
    <t>SAL113</t>
  </si>
  <si>
    <t>SAL114</t>
  </si>
  <si>
    <t>SAL115</t>
  </si>
  <si>
    <t>SAL116</t>
  </si>
  <si>
    <t>SAL117</t>
  </si>
  <si>
    <t>SAL118</t>
  </si>
  <si>
    <t>SAL119</t>
  </si>
  <si>
    <t>SAL120</t>
  </si>
  <si>
    <t>SAL121</t>
  </si>
  <si>
    <t>SAL122</t>
  </si>
  <si>
    <t>SAL123</t>
  </si>
  <si>
    <t>SAL124</t>
  </si>
  <si>
    <t>SAL125</t>
  </si>
  <si>
    <t>SAL126</t>
  </si>
  <si>
    <t>SAL127</t>
  </si>
  <si>
    <t>SAL128</t>
  </si>
  <si>
    <t>SAL129</t>
  </si>
  <si>
    <t>SAL130</t>
  </si>
  <si>
    <t>SAL131</t>
  </si>
  <si>
    <t>SAL132</t>
  </si>
  <si>
    <t>SAL133</t>
  </si>
  <si>
    <t>SAL134</t>
  </si>
  <si>
    <t>SAL135</t>
  </si>
  <si>
    <t>SAL136</t>
  </si>
  <si>
    <t>SAL137</t>
  </si>
  <si>
    <t>SAL138</t>
  </si>
  <si>
    <t>SAL139</t>
  </si>
  <si>
    <t>SAL140</t>
  </si>
  <si>
    <t>SAL141</t>
  </si>
  <si>
    <t>SAL142</t>
  </si>
  <si>
    <t>SAL143</t>
  </si>
  <si>
    <t>SAL144</t>
  </si>
  <si>
    <t>SAL145</t>
  </si>
  <si>
    <t>SAL146</t>
  </si>
  <si>
    <t>SAL147</t>
  </si>
  <si>
    <t>SAL148</t>
  </si>
  <si>
    <t>SAL149</t>
  </si>
  <si>
    <t>SAL150</t>
  </si>
  <si>
    <t>SAL151</t>
  </si>
  <si>
    <t>SAL152</t>
  </si>
  <si>
    <t>SAL153</t>
  </si>
  <si>
    <t>SAL154</t>
  </si>
  <si>
    <t>SAL155</t>
  </si>
  <si>
    <t>SAL156</t>
  </si>
  <si>
    <t>SAL157</t>
  </si>
  <si>
    <t>SAL158</t>
  </si>
  <si>
    <t>SAL159</t>
  </si>
  <si>
    <t>SAL160</t>
  </si>
  <si>
    <t>SAL161</t>
  </si>
  <si>
    <t>SAL162</t>
  </si>
  <si>
    <t>SAL163</t>
  </si>
  <si>
    <t>SAL164</t>
  </si>
  <si>
    <t>SAL165</t>
  </si>
  <si>
    <t>SAL166</t>
  </si>
  <si>
    <t>SAL167</t>
  </si>
  <si>
    <t>SAL168</t>
  </si>
  <si>
    <t>SAL169</t>
  </si>
  <si>
    <t>SAL170</t>
  </si>
  <si>
    <t>SAL171</t>
  </si>
  <si>
    <t>SAL172</t>
  </si>
  <si>
    <t>SAL173</t>
  </si>
  <si>
    <t>SAL174</t>
  </si>
  <si>
    <t>SAL175</t>
  </si>
  <si>
    <t>SAL176</t>
  </si>
  <si>
    <t>SAL177</t>
  </si>
  <si>
    <t>SAL178</t>
  </si>
  <si>
    <t>SAL179</t>
  </si>
  <si>
    <t>SAL180</t>
  </si>
  <si>
    <t>SAL181</t>
  </si>
  <si>
    <t>SAL182</t>
  </si>
  <si>
    <t>SAL183</t>
  </si>
  <si>
    <t>SAL184</t>
  </si>
  <si>
    <t>SAL185</t>
  </si>
  <si>
    <t>SAL186</t>
  </si>
  <si>
    <t>SAL187</t>
  </si>
  <si>
    <t>SAL188</t>
  </si>
  <si>
    <t>SAL189</t>
  </si>
  <si>
    <t>SAL190</t>
  </si>
  <si>
    <t>SAL191</t>
  </si>
  <si>
    <t>SAL192</t>
  </si>
  <si>
    <t>SAL193</t>
  </si>
  <si>
    <t>SAL194</t>
  </si>
  <si>
    <t>SAL195</t>
  </si>
  <si>
    <t>SAL196</t>
  </si>
  <si>
    <t>SAL197</t>
  </si>
  <si>
    <t>SAL198</t>
  </si>
  <si>
    <t>SAL199</t>
  </si>
  <si>
    <t>SAL200</t>
  </si>
  <si>
    <t>SAL201</t>
  </si>
  <si>
    <t>SAL202</t>
  </si>
  <si>
    <t>SAL203</t>
  </si>
  <si>
    <t>SAL204</t>
  </si>
  <si>
    <t>SAL205</t>
  </si>
  <si>
    <t>SAL206</t>
  </si>
  <si>
    <t>SAL207</t>
  </si>
  <si>
    <t>SAL208</t>
  </si>
  <si>
    <t>SAL209</t>
  </si>
  <si>
    <t>SAL210</t>
  </si>
  <si>
    <t>SAL211</t>
  </si>
  <si>
    <t>SAL212</t>
  </si>
  <si>
    <t>SAL213</t>
  </si>
  <si>
    <t>SAL214</t>
  </si>
  <si>
    <t>SAL215</t>
  </si>
  <si>
    <t>SAL216</t>
  </si>
  <si>
    <t>SAL217</t>
  </si>
  <si>
    <t>SAL218</t>
  </si>
  <si>
    <t>SAL219</t>
  </si>
  <si>
    <t>SAL220</t>
  </si>
  <si>
    <t>SAL221</t>
  </si>
  <si>
    <t>SAL222</t>
  </si>
  <si>
    <t>SAL223</t>
  </si>
  <si>
    <t>SAL224</t>
  </si>
  <si>
    <t>SAL225</t>
  </si>
  <si>
    <t>SAL226</t>
  </si>
  <si>
    <t>SAL227</t>
  </si>
  <si>
    <t>SAL228</t>
  </si>
  <si>
    <t>SAL229</t>
  </si>
  <si>
    <t>SAL230</t>
  </si>
  <si>
    <t>SAL231</t>
  </si>
  <si>
    <t>SAL232</t>
  </si>
  <si>
    <t>SAL233</t>
  </si>
  <si>
    <t>Portharcourt</t>
  </si>
  <si>
    <t>Sales_rep</t>
  </si>
  <si>
    <t>Payment_method</t>
  </si>
  <si>
    <t>Total_amount</t>
  </si>
  <si>
    <t>Unit_price</t>
  </si>
  <si>
    <t>Quantity_sold</t>
  </si>
  <si>
    <t>Customer_name</t>
  </si>
  <si>
    <t>Customer_id</t>
  </si>
  <si>
    <t>Product_name</t>
  </si>
  <si>
    <t>Product_id</t>
  </si>
  <si>
    <t>Sales_id</t>
  </si>
  <si>
    <t>January</t>
  </si>
  <si>
    <t>Q1</t>
  </si>
  <si>
    <t>Wednesday</t>
  </si>
  <si>
    <t>Thursday</t>
  </si>
  <si>
    <t>Friday</t>
  </si>
  <si>
    <t>Saturday</t>
  </si>
  <si>
    <t>Sunday</t>
  </si>
  <si>
    <t>Monday</t>
  </si>
  <si>
    <t>Tuesday</t>
  </si>
  <si>
    <t>February</t>
  </si>
  <si>
    <t>March</t>
  </si>
  <si>
    <t>April</t>
  </si>
  <si>
    <t>Q2</t>
  </si>
  <si>
    <t>May</t>
  </si>
  <si>
    <t>June</t>
  </si>
  <si>
    <t>July</t>
  </si>
  <si>
    <t>Q3</t>
  </si>
  <si>
    <t>August</t>
  </si>
  <si>
    <t>September</t>
  </si>
  <si>
    <t>October</t>
  </si>
  <si>
    <t>Q4</t>
  </si>
  <si>
    <t>November</t>
  </si>
  <si>
    <t>December</t>
  </si>
  <si>
    <t>Date</t>
  </si>
  <si>
    <t>Year</t>
  </si>
  <si>
    <t>Month</t>
  </si>
  <si>
    <t>Day</t>
  </si>
  <si>
    <t>Weekday</t>
  </si>
  <si>
    <t>Quarter</t>
  </si>
  <si>
    <t>Fabrication_date</t>
  </si>
  <si>
    <t>Quantity_produced</t>
  </si>
  <si>
    <t>Quantity_available</t>
  </si>
  <si>
    <t>Warranty</t>
  </si>
  <si>
    <t>Restocking</t>
  </si>
  <si>
    <t>Agriculture Equipment</t>
  </si>
  <si>
    <t>Processing Equipment</t>
  </si>
  <si>
    <t>Harvesting Equipment</t>
  </si>
  <si>
    <t>Agricultural Equipment</t>
  </si>
  <si>
    <t>Power  Equipment</t>
  </si>
  <si>
    <t>Unit_Price</t>
  </si>
  <si>
    <t>Grand Total</t>
  </si>
  <si>
    <t>Jan</t>
  </si>
  <si>
    <t>Feb</t>
  </si>
  <si>
    <t>Mar</t>
  </si>
  <si>
    <t>Apr</t>
  </si>
  <si>
    <t>Jun</t>
  </si>
  <si>
    <t>Jul</t>
  </si>
  <si>
    <t>Aug</t>
  </si>
  <si>
    <t>Sep</t>
  </si>
  <si>
    <t>Oct</t>
  </si>
  <si>
    <t>Nov</t>
  </si>
  <si>
    <t>Dec</t>
  </si>
  <si>
    <t>Region</t>
  </si>
  <si>
    <t>Total Sales by Month</t>
  </si>
  <si>
    <t>Sales by Product Category</t>
  </si>
  <si>
    <t>Quantity Sold by Region</t>
  </si>
  <si>
    <t>Top 10 Customers</t>
  </si>
  <si>
    <t>Cost_price</t>
  </si>
  <si>
    <t>Profit</t>
  </si>
  <si>
    <t>Months</t>
  </si>
  <si>
    <t>Payment_Method</t>
  </si>
  <si>
    <t>Customers</t>
  </si>
  <si>
    <t>Sales by Customer</t>
  </si>
  <si>
    <t>Total Amount</t>
  </si>
  <si>
    <t>Quantity Purchased</t>
  </si>
  <si>
    <t>IMRANA GLOBAL TECH-BOOM LTD (2025 Business Insights)</t>
  </si>
  <si>
    <t>IGT-B 2025 SALES PERFORMANCE DASHBOARD</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</si>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</sst>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409]d\-mmm\-yyyy;@"/>
    <numFmt numFmtId="165" formatCode="[$-409]dd\-mmm\-yy;@"/>
    <numFmt numFmtId="166" formatCode="[$₦-468]\ #,##0.00"/>
    <numFmt numFmtId="167" formatCode="\₦0,,&quot;M&quot;"/>
    <numFmt numFmtId="168" formatCode="\₦0.0,,&quot;M&quot;"/>
  </numFmts>
  <fonts count="12" x14ac:knownFonts="1">
    <font>
      <sz val="11"/>
      <color theme="1"/>
      <name val="Calibri"/>
      <family val="2"/>
      <scheme val="minor"/>
    </font>
    <font>
      <sz val="8"/>
      <name val="Calibri"/>
      <family val="2"/>
      <scheme val="minor"/>
    </font>
    <font>
      <sz val="11"/>
      <color theme="1"/>
      <name val="Calibri"/>
      <family val="2"/>
      <scheme val="minor"/>
    </font>
    <font>
      <b/>
      <sz val="13"/>
      <color theme="0"/>
      <name val="Calibri"/>
      <family val="2"/>
      <scheme val="minor"/>
    </font>
    <font>
      <sz val="13"/>
      <color theme="0"/>
      <name val="Calibri"/>
      <family val="2"/>
      <scheme val="minor"/>
    </font>
    <font>
      <b/>
      <sz val="14"/>
      <color rgb="FFC00000"/>
      <name val="Calibri"/>
      <family val="2"/>
      <scheme val="minor"/>
    </font>
    <font>
      <b/>
      <sz val="28"/>
      <color rgb="FFC00000"/>
      <name val="Calibri"/>
      <family val="2"/>
      <scheme val="minor"/>
    </font>
    <font>
      <b/>
      <sz val="24"/>
      <name val="Calibri"/>
      <family val="2"/>
      <scheme val="minor"/>
    </font>
    <font>
      <b/>
      <sz val="16"/>
      <color theme="1"/>
      <name val="Calibri"/>
      <family val="2"/>
      <scheme val="minor"/>
    </font>
    <font>
      <b/>
      <sz val="28"/>
      <color theme="1"/>
      <name val="Calibri"/>
      <family val="2"/>
      <scheme val="minor"/>
    </font>
    <font>
      <b/>
      <sz val="28"/>
      <color rgb="FFCC6600"/>
      <name val="Calibri"/>
      <family val="2"/>
      <scheme val="minor"/>
    </font>
    <font>
      <b/>
      <sz val="9"/>
      <color rgb="FFC0000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14" fontId="0" fillId="0" borderId="0" xfId="0" applyNumberFormat="1"/>
    <xf numFmtId="0" fontId="3" fillId="0" borderId="0" xfId="0" applyFont="1" applyProtection="1">
      <protection locked="0"/>
    </xf>
    <xf numFmtId="164" fontId="3" fillId="0" borderId="0" xfId="0" applyNumberFormat="1" applyFont="1" applyAlignment="1" applyProtection="1">
      <alignment horizontal="left"/>
      <protection locked="0"/>
    </xf>
    <xf numFmtId="0" fontId="4" fillId="0" borderId="0" xfId="0" applyFont="1" applyProtection="1">
      <protection locked="0"/>
    </xf>
    <xf numFmtId="0" fontId="0" fillId="0" borderId="0" xfId="0" applyProtection="1">
      <protection locked="0"/>
    </xf>
    <xf numFmtId="14" fontId="0" fillId="0" borderId="0" xfId="0" applyNumberFormat="1" applyProtection="1">
      <protection locked="0"/>
    </xf>
    <xf numFmtId="165" fontId="0" fillId="0" borderId="0" xfId="0" applyNumberFormat="1" applyAlignment="1" applyProtection="1">
      <alignment horizontal="right"/>
      <protection locked="0"/>
    </xf>
    <xf numFmtId="0" fontId="3" fillId="0" borderId="0" xfId="0" applyFont="1"/>
    <xf numFmtId="166" fontId="3" fillId="0" borderId="0" xfId="1" applyNumberFormat="1" applyFont="1" applyProtection="1"/>
    <xf numFmtId="166" fontId="0" fillId="0" borderId="0" xfId="0" applyNumberFormat="1"/>
    <xf numFmtId="44" fontId="3" fillId="0" borderId="0" xfId="1" applyFont="1" applyProtection="1">
      <protection locked="0"/>
    </xf>
    <xf numFmtId="44" fontId="0" fillId="0" borderId="0" xfId="1" applyFont="1" applyProtection="1">
      <protection locked="0"/>
    </xf>
    <xf numFmtId="2" fontId="3" fillId="0" borderId="0" xfId="0" applyNumberFormat="1" applyFont="1" applyProtection="1">
      <protection locked="0"/>
    </xf>
    <xf numFmtId="2" fontId="0" fillId="0" borderId="0" xfId="0" applyNumberFormat="1" applyProtection="1">
      <protection locked="0"/>
    </xf>
    <xf numFmtId="0" fontId="0" fillId="0" borderId="0" xfId="0" pivotButton="1"/>
    <xf numFmtId="0" fontId="0" fillId="0" borderId="0" xfId="0" applyAlignment="1">
      <alignment horizontal="left"/>
    </xf>
    <xf numFmtId="0" fontId="0" fillId="2" borderId="0" xfId="0" applyFill="1"/>
    <xf numFmtId="167" fontId="7" fillId="2" borderId="0" xfId="0" applyNumberFormat="1" applyFont="1" applyFill="1"/>
    <xf numFmtId="0" fontId="9" fillId="2" borderId="0" xfId="0" applyFont="1" applyFill="1"/>
    <xf numFmtId="0" fontId="8" fillId="2" borderId="0" xfId="0" applyFont="1" applyFill="1"/>
    <xf numFmtId="168" fontId="0" fillId="2" borderId="0" xfId="0" applyNumberFormat="1" applyFill="1"/>
    <xf numFmtId="44" fontId="0" fillId="0" borderId="0" xfId="1" applyFont="1"/>
    <xf numFmtId="166" fontId="0" fillId="0" borderId="0" xfId="0" applyNumberFormat="1" applyProtection="1">
      <protection locked="0"/>
    </xf>
    <xf numFmtId="166" fontId="3" fillId="0" borderId="0" xfId="0" applyNumberFormat="1" applyFont="1" applyProtection="1">
      <protection locked="0"/>
    </xf>
    <xf numFmtId="166" fontId="3" fillId="0" borderId="0" xfId="0" applyNumberFormat="1" applyFont="1"/>
    <xf numFmtId="168" fontId="11" fillId="2" borderId="0" xfId="0" applyNumberFormat="1" applyFont="1" applyFill="1"/>
    <xf numFmtId="0" fontId="10" fillId="0" borderId="0" xfId="0" applyFont="1" applyAlignment="1">
      <alignment horizontal="center"/>
    </xf>
    <xf numFmtId="0" fontId="5" fillId="0" borderId="0" xfId="0" applyFont="1" applyAlignment="1">
      <alignment horizontal="center"/>
    </xf>
    <xf numFmtId="0" fontId="10" fillId="0" borderId="0" xfId="0" applyFont="1" applyAlignment="1">
      <alignment horizontal="left"/>
    </xf>
    <xf numFmtId="0" fontId="6" fillId="2" borderId="0" xfId="0" applyFont="1" applyFill="1" applyAlignment="1">
      <alignment horizontal="center"/>
    </xf>
  </cellXfs>
  <cellStyles count="2">
    <cellStyle name="Currency" xfId="1" builtinId="4"/>
    <cellStyle name="Normal" xfId="0" builtinId="0"/>
  </cellStyles>
  <dxfs count="41">
    <dxf>
      <numFmt numFmtId="19" formatCode="m/d/yyyy"/>
    </dxf>
    <dxf>
      <protection locked="1" hidden="0"/>
    </dxf>
    <dxf>
      <protection locked="0" hidden="0"/>
    </dxf>
    <dxf>
      <numFmt numFmtId="2" formatCode="0.00"/>
      <protection locked="0"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3"/>
        <color theme="0"/>
        <name val="Calibri"/>
        <family val="2"/>
        <scheme val="minor"/>
      </font>
      <protection locked="0" hidden="0"/>
    </dxf>
    <dxf>
      <protection locked="1" hidden="0"/>
    </dxf>
    <dxf>
      <protection locked="1" hidden="0"/>
    </dxf>
    <dxf>
      <protection locked="0" hidden="0"/>
    </dxf>
    <dxf>
      <protection locked="0" hidden="0"/>
    </dxf>
    <dxf>
      <protection locked="1" hidden="0"/>
    </dxf>
    <dxf>
      <protection locked="1" hidden="0"/>
    </dxf>
    <dxf>
      <protection locked="0" hidden="0"/>
    </dxf>
    <dxf>
      <font>
        <b val="0"/>
        <i val="0"/>
        <strike val="0"/>
        <condense val="0"/>
        <extend val="0"/>
        <outline val="0"/>
        <shadow val="0"/>
        <u val="none"/>
        <vertAlign val="baseline"/>
        <sz val="11"/>
        <color theme="1"/>
        <name val="Calibri"/>
        <family val="2"/>
        <scheme val="minor"/>
      </font>
      <protection locked="0" hidden="0"/>
    </dxf>
    <dxf>
      <numFmt numFmtId="19" formatCode="m/d/yyyy"/>
      <protection locked="0" hidden="0"/>
    </dxf>
    <dxf>
      <numFmt numFmtId="19" formatCode="m/d/yyyy"/>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3"/>
        <color theme="0"/>
        <name val="Calibri"/>
        <family val="2"/>
        <scheme val="minor"/>
      </font>
      <protection locked="0" hidden="0"/>
    </dxf>
    <dxf>
      <numFmt numFmtId="166" formatCode="[$₦-468]\ #,##0.00"/>
      <protection locked="0" hidden="0"/>
    </dxf>
    <dxf>
      <protection locked="0" hidden="0"/>
    </dxf>
    <dxf>
      <protection locked="0" hidden="0"/>
    </dxf>
    <dxf>
      <protection locked="0" hidden="0"/>
    </dxf>
    <dxf>
      <numFmt numFmtId="166" formatCode="[$₦-468]\ #,##0.00"/>
      <protection locked="1" hidden="0"/>
    </dxf>
    <dxf>
      <numFmt numFmtId="166" formatCode="[$₦-468]\ #,##0.00"/>
      <protection locked="1" hidden="0"/>
    </dxf>
    <dxf>
      <numFmt numFmtId="166" formatCode="[$₦-468]\ #,##0.00"/>
      <protection locked="0" hidden="0"/>
    </dxf>
    <dxf>
      <protection locked="0" hidden="0"/>
    </dxf>
    <dxf>
      <numFmt numFmtId="165" formatCode="[$-409]dd\-mmm\-yy;@"/>
      <protection locked="0" hidden="0"/>
    </dxf>
    <dxf>
      <protection locked="0" hidden="0"/>
    </dxf>
    <dxf>
      <protection locked="0" hidden="0"/>
    </dxf>
    <dxf>
      <numFmt numFmtId="0" formatCode="General"/>
      <protection locked="0" hidden="0"/>
    </dxf>
    <dxf>
      <protection locked="0" hidden="0"/>
    </dxf>
    <dxf>
      <protection locked="0" hidden="0"/>
    </dxf>
    <dxf>
      <protection locked="0" hidden="0"/>
    </dxf>
    <dxf>
      <font>
        <b/>
        <i val="0"/>
        <strike val="0"/>
        <condense val="0"/>
        <extend val="0"/>
        <outline val="0"/>
        <shadow val="0"/>
        <u val="none"/>
        <vertAlign val="baseline"/>
        <sz val="13"/>
        <color theme="0"/>
        <name val="Calibri"/>
        <family val="2"/>
        <scheme val="minor"/>
      </font>
      <protection locked="0" hidden="0"/>
    </dxf>
  </dxfs>
  <tableStyles count="0" defaultTableStyle="TableStyleMedium2" defaultPivotStyle="PivotStyleLight16"/>
  <colors>
    <mruColors>
      <color rgb="FFCC6600"/>
      <color rgb="FFFF9900"/>
      <color rgb="FF00642D"/>
      <color rgb="FFFF4519"/>
      <color rgb="FF00E668"/>
      <color rgb="FF00C057"/>
      <color rgb="FF00D661"/>
      <color rgb="FF00D0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[IMRANA GLOBAL TECH-BOOM LTD_Products_Sales_ Inventory_2025.Performance Dashboard.xlsx]Sales_Pivots!PivotTable2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r>
              <a:rPr lang="en-US" sz="1400" b="1">
                <a:solidFill>
                  <a:schemeClr val="tx1">
                    <a:lumMod val="50000"/>
                    <a:lumOff val="50000"/>
                  </a:schemeClr>
                </a:solidFill>
              </a:rPr>
              <a:t>MONTHLY REVENUE TREND</a:t>
            </a:r>
          </a:p>
        </c:rich>
      </c:tx>
      <c:layout>
        <c:manualLayout>
          <c:xMode val="edge"/>
          <c:yMode val="edge"/>
          <c:x val="0.31520294744685695"/>
          <c:y val="0.1409371309307068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Sales_Pivots!$B$6</c:f>
              <c:strCache>
                <c:ptCount val="1"/>
                <c:pt idx="0">
                  <c:v>Total</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dispRSqr val="0"/>
            <c:dispEq val="0"/>
          </c:trendline>
          <c:cat>
            <c:strRef>
              <c:f>Sales_Pivots!$A$7:$A$19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Sales_Pivots!$B$7:$B$19</c:f>
              <c:numCache>
                <c:formatCode>General</c:formatCode>
                <c:ptCount val="12"/>
                <c:pt idx="0">
                  <c:v>65172000</c:v>
                </c:pt>
                <c:pt idx="1">
                  <c:v>82949500</c:v>
                </c:pt>
                <c:pt idx="2">
                  <c:v>29101000</c:v>
                </c:pt>
                <c:pt idx="3">
                  <c:v>41523000</c:v>
                </c:pt>
                <c:pt idx="4">
                  <c:v>26374000</c:v>
                </c:pt>
                <c:pt idx="5">
                  <c:v>31958000</c:v>
                </c:pt>
                <c:pt idx="6">
                  <c:v>20044000</c:v>
                </c:pt>
                <c:pt idx="7">
                  <c:v>42525000</c:v>
                </c:pt>
                <c:pt idx="8">
                  <c:v>42907000</c:v>
                </c:pt>
                <c:pt idx="9">
                  <c:v>33901000</c:v>
                </c:pt>
                <c:pt idx="10">
                  <c:v>40845000</c:v>
                </c:pt>
                <c:pt idx="11">
                  <c:v>27741000</c:v>
                </c:pt>
              </c:numCache>
            </c:numRef>
          </c:val>
          <c:smooth val="0"/>
          <c:extLst>
            <c:ext xmlns:c16="http://schemas.microsoft.com/office/drawing/2014/chart" uri="{C3380CC4-5D6E-409C-BE32-E72D297353CC}">
              <c16:uniqueId val="{00000000-DB7C-4BB5-B3CC-D4690CD8A0D6}"/>
            </c:ext>
          </c:extLst>
        </c:ser>
        <c:dLbls>
          <c:showLegendKey val="0"/>
          <c:showVal val="0"/>
          <c:showCatName val="0"/>
          <c:showSerName val="0"/>
          <c:showPercent val="0"/>
          <c:showBubbleSize val="0"/>
        </c:dLbls>
        <c:smooth val="0"/>
        <c:axId val="87937231"/>
        <c:axId val="87953039"/>
      </c:lineChart>
      <c:catAx>
        <c:axId val="879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87953039"/>
        <c:crosses val="autoZero"/>
        <c:auto val="1"/>
        <c:lblAlgn val="ctr"/>
        <c:lblOffset val="100"/>
        <c:noMultiLvlLbl val="0"/>
      </c:catAx>
      <c:valAx>
        <c:axId val="879530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3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[IMRANA GLOBAL TECH-BOOM LTD_Products_Sales_ Inventory_2025.Performance Dashboard.xlsx]Sales_Pivots!PivotTable3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r>
              <a:rPr lang="en-US" b="1">
                <a:solidFill>
                  <a:schemeClr val="tx1">
                    <a:lumMod val="50000"/>
                    <a:lumOff val="50000"/>
                  </a:schemeClr>
                </a:solidFill>
              </a:rPr>
              <a:t>SALES BY CATEGORY</a:t>
            </a:r>
            <a:endParaRPr lang="en-US" b="1" baseline="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Sales_Pivots!$E$6</c:f>
              <c:strCache>
                <c:ptCount val="1"/>
                <c:pt idx="0">
                  <c:v>Total</c:v>
                </c:pt>
              </c:strCache>
            </c:strRef>
          </c:tx>
          <c:spPr>
            <a:solidFill>
              <a:schemeClr val="accent6"/>
            </a:solidFill>
            <a:ln>
              <a:noFill/>
            </a:ln>
            <a:effectLst/>
          </c:spPr>
          <c:invertIfNegative val="0"/>
          <c:cat>
            <c:strRef>
              <c:f>Sales_Pivots!$D$7:$D$19</c:f>
              <c:strCache>
                <c:ptCount val="12"/>
                <c:pt idx="0">
                  <c:v>Agriculture Equipment</c:v>
                </c:pt>
                <c:pt idx="1">
                  <c:v>Safety Equipment</c:v>
                </c:pt>
                <c:pt idx="2">
                  <c:v>Agricultural Structure</c:v>
                </c:pt>
                <c:pt idx="3">
                  <c:v>Fabrication Tools</c:v>
                </c:pt>
                <c:pt idx="4">
                  <c:v>Harvesting Equipment</c:v>
                </c:pt>
                <c:pt idx="5">
                  <c:v>Energy Equipment</c:v>
                </c:pt>
                <c:pt idx="6">
                  <c:v>Power Equipment</c:v>
                </c:pt>
                <c:pt idx="7">
                  <c:v>Industrial Equipment</c:v>
                </c:pt>
                <c:pt idx="8">
                  <c:v>Agricultural Equipment</c:v>
                </c:pt>
                <c:pt idx="9">
                  <c:v>Storage Equipment</c:v>
                </c:pt>
                <c:pt idx="10">
                  <c:v>Agricultural Machine</c:v>
                </c:pt>
                <c:pt idx="11">
                  <c:v>Processing Equipment</c:v>
                </c:pt>
              </c:strCache>
            </c:strRef>
          </c:cat>
          <c:val>
            <c:numRef>
              <c:f>Sales_Pivots!$E$7:$E$19</c:f>
              <c:numCache>
                <c:formatCode>General</c:formatCode>
                <c:ptCount val="12"/>
                <c:pt idx="0">
                  <c:v>774000</c:v>
                </c:pt>
                <c:pt idx="1">
                  <c:v>3115500</c:v>
                </c:pt>
                <c:pt idx="2">
                  <c:v>6830000</c:v>
                </c:pt>
                <c:pt idx="3">
                  <c:v>13944000</c:v>
                </c:pt>
                <c:pt idx="4">
                  <c:v>21840000</c:v>
                </c:pt>
                <c:pt idx="5">
                  <c:v>24700000</c:v>
                </c:pt>
                <c:pt idx="6">
                  <c:v>35197000</c:v>
                </c:pt>
                <c:pt idx="7">
                  <c:v>52446000</c:v>
                </c:pt>
                <c:pt idx="8">
                  <c:v>61022000</c:v>
                </c:pt>
                <c:pt idx="9">
                  <c:v>85798000</c:v>
                </c:pt>
                <c:pt idx="10">
                  <c:v>86180000</c:v>
                </c:pt>
                <c:pt idx="11">
                  <c:v>93194000</c:v>
                </c:pt>
              </c:numCache>
            </c:numRef>
          </c:val>
          <c:extLst>
            <c:ext xmlns:c16="http://schemas.microsoft.com/office/drawing/2014/chart" uri="{C3380CC4-5D6E-409C-BE32-E72D297353CC}">
              <c16:uniqueId val="{00000000-24B1-4C05-BA6E-2B0D6119D1E5}"/>
            </c:ext>
          </c:extLst>
        </c:ser>
        <c:dLbls>
          <c:showLegendKey val="0"/>
          <c:showVal val="0"/>
          <c:showCatName val="0"/>
          <c:showSerName val="0"/>
          <c:showPercent val="0"/>
          <c:showBubbleSize val="0"/>
        </c:dLbls>
        <c:gapWidth val="150"/>
        <c:axId val="90043103"/>
        <c:axId val="90057663"/>
      </c:barChart>
      <c:catAx>
        <c:axId val="9004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90057663"/>
        <c:crosses val="autoZero"/>
        <c:auto val="1"/>
        <c:lblAlgn val="ctr"/>
        <c:lblOffset val="100"/>
        <c:noMultiLvlLbl val="0"/>
      </c:catAx>
      <c:valAx>
        <c:axId val="900576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004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[IMRANA GLOBAL TECH-BOOM LTD_Products_Sales_ Inventory_2025.Performance Dashboard.xlsx]Sales_Pivots!PivotTable4</c:name>
    <c:fmtId val="2"/>
  </c:pivotSource>
  <c:chart>
    <c:title>
      <c:tx>
        <c:rich>
          <a:bodyPr rot="0" spcFirstLastPara="1" vertOverflow="ellipsis" vert="horz" wrap="square" anchor="ctr" anchorCtr="1"/>
          <a:lstStyle/>
          <a:p>
            <a:pPr>
              <a:defRPr sz="1400" b="1" i="0" u="none" strike="noStrike" kern="1200" cap="all" spc="120" normalizeH="0" baseline="0">
                <a:solidFill>
                  <a:schemeClr val="tx1">
                    <a:lumMod val="50000"/>
                    <a:lumOff val="50000"/>
                  </a:schemeClr>
                </a:solidFill>
                <a:latin typeface="+mn-lt"/>
                <a:ea typeface="+mn-ea"/>
                <a:cs typeface="+mn-cs"/>
              </a:defRPr>
            </a:pPr>
            <a:r>
              <a:rPr lang="en-US" sz="1400">
                <a:solidFill>
                  <a:schemeClr val="tx1">
                    <a:lumMod val="50000"/>
                    <a:lumOff val="50000"/>
                  </a:schemeClr>
                </a:solidFill>
              </a:rPr>
              <a:t>Revenue</a:t>
            </a:r>
            <a:r>
              <a:rPr lang="en-US" sz="1400" baseline="0">
                <a:solidFill>
                  <a:schemeClr val="tx1">
                    <a:lumMod val="50000"/>
                    <a:lumOff val="50000"/>
                  </a:schemeClr>
                </a:solidFill>
              </a:rPr>
              <a:t> by REGION</a:t>
            </a:r>
            <a:endParaRPr lang="en-US" sz="140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80159253815702E-2"/>
          <c:y val="0.15608983970543783"/>
          <c:w val="0.86157260158491611"/>
          <c:h val="0.63537509278940008"/>
        </c:manualLayout>
      </c:layout>
      <c:areaChart>
        <c:grouping val="standard"/>
        <c:varyColors val="0"/>
        <c:ser>
          <c:idx val="0"/>
          <c:order val="0"/>
          <c:tx>
            <c:strRef>
              <c:f>Sales_Pivots!$H$6</c:f>
              <c:strCache>
                <c:ptCount val="1"/>
                <c:pt idx="0">
                  <c:v>Quantity Purchased</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Sales_Pivots!$G$7:$G$13</c:f>
              <c:strCache>
                <c:ptCount val="6"/>
                <c:pt idx="0">
                  <c:v>Ibadan</c:v>
                </c:pt>
                <c:pt idx="1">
                  <c:v>Kaduna</c:v>
                </c:pt>
                <c:pt idx="2">
                  <c:v>Enugu</c:v>
                </c:pt>
                <c:pt idx="3">
                  <c:v>Lagos</c:v>
                </c:pt>
                <c:pt idx="4">
                  <c:v>Portharcourt</c:v>
                </c:pt>
                <c:pt idx="5">
                  <c:v>Kano</c:v>
                </c:pt>
              </c:strCache>
            </c:strRef>
          </c:cat>
          <c:val>
            <c:numRef>
              <c:f>Sales_Pivots!$H$7:$H$13</c:f>
              <c:numCache>
                <c:formatCode>General</c:formatCode>
                <c:ptCount val="6"/>
                <c:pt idx="0">
                  <c:v>424</c:v>
                </c:pt>
                <c:pt idx="1">
                  <c:v>381</c:v>
                </c:pt>
                <c:pt idx="2">
                  <c:v>367</c:v>
                </c:pt>
                <c:pt idx="3">
                  <c:v>442</c:v>
                </c:pt>
                <c:pt idx="4">
                  <c:v>486</c:v>
                </c:pt>
                <c:pt idx="5">
                  <c:v>298</c:v>
                </c:pt>
              </c:numCache>
            </c:numRef>
          </c:val>
          <c:extLst>
            <c:ext xmlns:c16="http://schemas.microsoft.com/office/drawing/2014/chart" uri="{C3380CC4-5D6E-409C-BE32-E72D297353CC}">
              <c16:uniqueId val="{00000000-087C-456C-9D0B-8468945B7B70}"/>
            </c:ext>
          </c:extLst>
        </c:ser>
        <c:ser>
          <c:idx val="1"/>
          <c:order val="1"/>
          <c:tx>
            <c:strRef>
              <c:f>Sales_Pivots!$I$6</c:f>
              <c:strCache>
                <c:ptCount val="1"/>
                <c:pt idx="0">
                  <c:v>Total Amount</c:v>
                </c:pt>
              </c:strCache>
            </c:strRef>
          </c:tx>
          <c:spPr>
            <a:solidFill>
              <a:schemeClr val="accent6"/>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Sales_Pivots!$G$7:$G$13</c:f>
              <c:strCache>
                <c:ptCount val="6"/>
                <c:pt idx="0">
                  <c:v>Ibadan</c:v>
                </c:pt>
                <c:pt idx="1">
                  <c:v>Kaduna</c:v>
                </c:pt>
                <c:pt idx="2">
                  <c:v>Enugu</c:v>
                </c:pt>
                <c:pt idx="3">
                  <c:v>Lagos</c:v>
                </c:pt>
                <c:pt idx="4">
                  <c:v>Portharcourt</c:v>
                </c:pt>
                <c:pt idx="5">
                  <c:v>Kano</c:v>
                </c:pt>
              </c:strCache>
            </c:strRef>
          </c:cat>
          <c:val>
            <c:numRef>
              <c:f>Sales_Pivots!$I$7:$I$13</c:f>
              <c:numCache>
                <c:formatCode>General</c:formatCode>
                <c:ptCount val="6"/>
                <c:pt idx="0">
                  <c:v>99451500</c:v>
                </c:pt>
                <c:pt idx="1">
                  <c:v>98037000</c:v>
                </c:pt>
                <c:pt idx="2">
                  <c:v>80336500</c:v>
                </c:pt>
                <c:pt idx="3">
                  <c:v>78564500</c:v>
                </c:pt>
                <c:pt idx="4">
                  <c:v>66152000</c:v>
                </c:pt>
                <c:pt idx="5">
                  <c:v>62499000</c:v>
                </c:pt>
              </c:numCache>
            </c:numRef>
          </c:val>
          <c:extLst>
            <c:ext xmlns:c16="http://schemas.microsoft.com/office/drawing/2014/chart" uri="{C3380CC4-5D6E-409C-BE32-E72D297353CC}">
              <c16:uniqueId val="{00000001-087C-456C-9D0B-8468945B7B70}"/>
            </c:ext>
          </c:extLst>
        </c:ser>
        <c:dLbls>
          <c:showLegendKey val="0"/>
          <c:showVal val="1"/>
          <c:showCatName val="0"/>
          <c:showSerName val="0"/>
          <c:showPercent val="0"/>
          <c:showBubbleSize val="0"/>
        </c:dLbls>
        <c:axId val="1387860064"/>
        <c:axId val="1387856736"/>
      </c:areaChart>
      <c:catAx>
        <c:axId val="138786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C00000"/>
                </a:solidFill>
                <a:latin typeface="+mn-lt"/>
                <a:ea typeface="+mn-ea"/>
                <a:cs typeface="+mn-cs"/>
              </a:defRPr>
            </a:pPr>
            <a:endParaRPr lang="en-US"/>
          </a:p>
        </c:txPr>
        <c:crossAx val="1387856736"/>
        <c:crosses val="autoZero"/>
        <c:auto val="1"/>
        <c:lblAlgn val="ctr"/>
        <c:lblOffset val="100"/>
        <c:noMultiLvlLbl val="0"/>
      </c:catAx>
      <c:valAx>
        <c:axId val="1387856736"/>
        <c:scaling>
          <c:orientation val="minMax"/>
        </c:scaling>
        <c:delete val="1"/>
        <c:axPos val="l"/>
        <c:numFmt formatCode="General" sourceLinked="1"/>
        <c:majorTickMark val="none"/>
        <c:minorTickMark val="none"/>
        <c:tickLblPos val="nextTo"/>
        <c:crossAx val="13878600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[IMRANA GLOBAL TECH-BOOM LTD_Products_Sales_ Inventory_2025.Performance Dashboard.xlsx]Sales_Pivots!PivotTable6</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50000"/>
                    <a:lumOff val="50000"/>
                  </a:schemeClr>
                </a:solidFill>
                <a:latin typeface="+mn-lt"/>
                <a:ea typeface="+mn-ea"/>
                <a:cs typeface="+mn-cs"/>
              </a:defRPr>
            </a:pPr>
            <a:r>
              <a:rPr lang="en-US" sz="800">
                <a:solidFill>
                  <a:schemeClr val="tx1">
                    <a:lumMod val="50000"/>
                    <a:lumOff val="50000"/>
                  </a:schemeClr>
                </a:solidFill>
              </a:rPr>
              <a:t>pREFERRED payment Method</a:t>
            </a:r>
          </a:p>
        </c:rich>
      </c:tx>
      <c:layout>
        <c:manualLayout>
          <c:xMode val="edge"/>
          <c:yMode val="edge"/>
          <c:x val="0.18642035360605208"/>
          <c:y val="5.372645630494840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Sales_Pivots!$H$16</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A4A-423D-8DFB-EA603C62ECC8}"/>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4A-423D-8DFB-EA603C62ECC8}"/>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A4A-423D-8DFB-EA603C62EC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Sales_Pivots!$G$17:$G$20</c:f>
              <c:strCache>
                <c:ptCount val="3"/>
                <c:pt idx="0">
                  <c:v>Cash</c:v>
                </c:pt>
                <c:pt idx="1">
                  <c:v>POS</c:v>
                </c:pt>
                <c:pt idx="2">
                  <c:v>Transfer</c:v>
                </c:pt>
              </c:strCache>
            </c:strRef>
          </c:cat>
          <c:val>
            <c:numRef>
              <c:f>Sales_Pivots!$H$17:$H$20</c:f>
              <c:numCache>
                <c:formatCode>General</c:formatCode>
                <c:ptCount val="3"/>
                <c:pt idx="0">
                  <c:v>126087000</c:v>
                </c:pt>
                <c:pt idx="1">
                  <c:v>227321500</c:v>
                </c:pt>
                <c:pt idx="2">
                  <c:v>131632000</c:v>
                </c:pt>
              </c:numCache>
            </c:numRef>
          </c:val>
          <c:extLst>
            <c:ext xmlns:c16="http://schemas.microsoft.com/office/drawing/2014/chart" uri="{C3380CC4-5D6E-409C-BE32-E72D297353CC}">
              <c16:uniqueId val="{00000007-E7C1-4047-8DA4-CC5BD485E06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48599</xdr:colOff>
      <xdr:row>0</xdr:row>
      <xdr:rowOff>0</xdr:rowOff>
    </xdr:from>
    <xdr:to>
      <xdr:col>1</xdr:col>
      <xdr:colOff>796989</xdr:colOff>
      <xdr:row>3</xdr:row>
      <xdr:rowOff>437373</xdr:rowOff>
    </xdr:to>
    <xdr:pic>
      <xdr:nvPicPr>
        <xdr:cNvPr id="5" name="Picture 4">
          <a:extLst>
            <a:ext uri="{FF2B5EF4-FFF2-40B4-BE49-F238E27FC236}">
              <a16:creationId xmlns:a16="http://schemas.microsoft.com/office/drawing/2014/main" id="{2E4A4181-130B-4F2A-BE33-DC4593DBD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99" y="0"/>
          <a:ext cx="1516222" cy="10205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464344</xdr:colOff>
      <xdr:row>3</xdr:row>
      <xdr:rowOff>95250</xdr:rowOff>
    </xdr:from>
    <xdr:to>
      <xdr:col>10</xdr:col>
      <xdr:colOff>95250</xdr:colOff>
      <xdr:row>5</xdr:row>
      <xdr:rowOff>238124</xdr:rowOff>
    </xdr:to>
    <xdr:sp macro="" textlink="H5">
      <xdr:nvSpPr>
        <xdr:cNvPr id="9" name="Rectangle: Rounded Corners 8">
          <a:extLst>
            <a:ext uri="{FF2B5EF4-FFF2-40B4-BE49-F238E27FC236}">
              <a16:creationId xmlns:a16="http://schemas.microsoft.com/office/drawing/2014/main" id="{F8128EF3-C813-4A96-91B5-AE37B49E66B5}"/>
            </a:ext>
          </a:extLst>
        </xdr:cNvPr>
        <xdr:cNvSpPr/>
      </xdr:nvSpPr>
      <xdr:spPr>
        <a:xfrm>
          <a:off x="4595813" y="928688"/>
          <a:ext cx="2119312" cy="785811"/>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2512DA2-F2E2-4E0C-BB12-156D21CC2E3F}" type="TxLink">
            <a:rPr lang="en-US" sz="2000" b="1" i="0" u="none" strike="noStrike">
              <a:solidFill>
                <a:srgbClr val="C00000"/>
              </a:solidFill>
              <a:latin typeface="Calibri"/>
              <a:cs typeface="Calibri"/>
            </a:rPr>
            <a:pPr algn="ctr"/>
            <a:t>234</a:t>
          </a:fld>
          <a:endParaRPr lang="en-US" sz="2000">
            <a:solidFill>
              <a:srgbClr val="C00000"/>
            </a:solidFill>
          </a:endParaRPr>
        </a:p>
      </xdr:txBody>
    </xdr:sp>
    <xdr:clientData/>
  </xdr:twoCellAnchor>
  <xdr:twoCellAnchor editAs="oneCell">
    <xdr:from>
      <xdr:col>0</xdr:col>
      <xdr:colOff>0</xdr:colOff>
      <xdr:row>0</xdr:row>
      <xdr:rowOff>0</xdr:rowOff>
    </xdr:from>
    <xdr:to>
      <xdr:col>4</xdr:col>
      <xdr:colOff>0</xdr:colOff>
      <xdr:row>10</xdr:row>
      <xdr:rowOff>15126</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D3C90AEF-9D61-47F3-80F8-B503BC3E8D1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0"/>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159982</xdr:rowOff>
    </xdr:from>
    <xdr:to>
      <xdr:col>3</xdr:col>
      <xdr:colOff>588624</xdr:colOff>
      <xdr:row>19</xdr:row>
      <xdr:rowOff>136168</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8EFF3DFB-3160-455D-AF28-A7039568F87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522182"/>
              <a:ext cx="2449348" cy="1881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11339</xdr:colOff>
      <xdr:row>3</xdr:row>
      <xdr:rowOff>95249</xdr:rowOff>
    </xdr:from>
    <xdr:to>
      <xdr:col>6</xdr:col>
      <xdr:colOff>321468</xdr:colOff>
      <xdr:row>5</xdr:row>
      <xdr:rowOff>238125</xdr:rowOff>
    </xdr:to>
    <xdr:sp macro="" textlink="F5">
      <xdr:nvSpPr>
        <xdr:cNvPr id="5" name="Rectangle: Rounded Corners 4">
          <a:extLst>
            <a:ext uri="{FF2B5EF4-FFF2-40B4-BE49-F238E27FC236}">
              <a16:creationId xmlns:a16="http://schemas.microsoft.com/office/drawing/2014/main" id="{6FE8E0FD-F189-41D9-A099-D4EA06B380FB}"/>
            </a:ext>
          </a:extLst>
        </xdr:cNvPr>
        <xdr:cNvSpPr/>
      </xdr:nvSpPr>
      <xdr:spPr>
        <a:xfrm>
          <a:off x="2440214" y="928687"/>
          <a:ext cx="2012723" cy="785813"/>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ADE4D8B-4A3A-4CFD-8E75-B5A0772315CD}" type="TxLink">
            <a:rPr lang="en-US" sz="2000" b="1" i="0" u="none" strike="noStrike">
              <a:solidFill>
                <a:srgbClr val="C00000"/>
              </a:solidFill>
              <a:latin typeface="Calibri"/>
              <a:cs typeface="Calibri"/>
            </a:rPr>
            <a:pPr algn="ctr"/>
            <a:t>₦485M</a:t>
          </a:fld>
          <a:endParaRPr lang="en-US" sz="2000">
            <a:solidFill>
              <a:srgbClr val="C00000"/>
            </a:solidFill>
          </a:endParaRPr>
        </a:p>
      </xdr:txBody>
    </xdr:sp>
    <xdr:clientData/>
  </xdr:twoCellAnchor>
  <xdr:twoCellAnchor>
    <xdr:from>
      <xdr:col>4</xdr:col>
      <xdr:colOff>489858</xdr:colOff>
      <xdr:row>3</xdr:row>
      <xdr:rowOff>178026</xdr:rowOff>
    </xdr:from>
    <xdr:to>
      <xdr:col>5</xdr:col>
      <xdr:colOff>873828</xdr:colOff>
      <xdr:row>4</xdr:row>
      <xdr:rowOff>274137</xdr:rowOff>
    </xdr:to>
    <xdr:sp macro="" textlink="">
      <xdr:nvSpPr>
        <xdr:cNvPr id="4" name="TextBox 3">
          <a:extLst>
            <a:ext uri="{FF2B5EF4-FFF2-40B4-BE49-F238E27FC236}">
              <a16:creationId xmlns:a16="http://schemas.microsoft.com/office/drawing/2014/main" id="{3FE2EC1F-EA3C-4AF7-97AA-41F9A51AFF99}"/>
            </a:ext>
          </a:extLst>
        </xdr:cNvPr>
        <xdr:cNvSpPr txBox="1"/>
      </xdr:nvSpPr>
      <xdr:spPr>
        <a:xfrm>
          <a:off x="2918733" y="1011464"/>
          <a:ext cx="991189" cy="286611"/>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642D"/>
              </a:solidFill>
            </a:rPr>
            <a:t>Total Sales </a:t>
          </a:r>
        </a:p>
      </xdr:txBody>
    </xdr:sp>
    <xdr:clientData/>
  </xdr:twoCellAnchor>
  <xdr:twoCellAnchor>
    <xdr:from>
      <xdr:col>7</xdr:col>
      <xdr:colOff>175953</xdr:colOff>
      <xdr:row>3</xdr:row>
      <xdr:rowOff>189974</xdr:rowOff>
    </xdr:from>
    <xdr:to>
      <xdr:col>9</xdr:col>
      <xdr:colOff>44573</xdr:colOff>
      <xdr:row>4</xdr:row>
      <xdr:rowOff>285224</xdr:rowOff>
    </xdr:to>
    <xdr:sp macro="" textlink="">
      <xdr:nvSpPr>
        <xdr:cNvPr id="7" name="TextBox 6">
          <a:extLst>
            <a:ext uri="{FF2B5EF4-FFF2-40B4-BE49-F238E27FC236}">
              <a16:creationId xmlns:a16="http://schemas.microsoft.com/office/drawing/2014/main" id="{3B45FB3E-54CF-4E77-9B19-2CB6E2E8173B}"/>
            </a:ext>
          </a:extLst>
        </xdr:cNvPr>
        <xdr:cNvSpPr txBox="1"/>
      </xdr:nvSpPr>
      <xdr:spPr>
        <a:xfrm>
          <a:off x="4949792" y="1074438"/>
          <a:ext cx="1149960" cy="288018"/>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00642D"/>
              </a:solidFill>
            </a:rPr>
            <a:t>Total Orders </a:t>
          </a:r>
        </a:p>
      </xdr:txBody>
    </xdr:sp>
    <xdr:clientData/>
  </xdr:twoCellAnchor>
  <xdr:twoCellAnchor>
    <xdr:from>
      <xdr:col>10</xdr:col>
      <xdr:colOff>238125</xdr:colOff>
      <xdr:row>3</xdr:row>
      <xdr:rowOff>100354</xdr:rowOff>
    </xdr:from>
    <xdr:to>
      <xdr:col>13</xdr:col>
      <xdr:colOff>62293</xdr:colOff>
      <xdr:row>5</xdr:row>
      <xdr:rowOff>226219</xdr:rowOff>
    </xdr:to>
    <xdr:sp macro="" textlink="K5">
      <xdr:nvSpPr>
        <xdr:cNvPr id="13" name="Rectangle: Rounded Corners 12">
          <a:extLst>
            <a:ext uri="{FF2B5EF4-FFF2-40B4-BE49-F238E27FC236}">
              <a16:creationId xmlns:a16="http://schemas.microsoft.com/office/drawing/2014/main" id="{AC48B105-A09E-4DEE-B368-DC42A7596F0B}"/>
            </a:ext>
          </a:extLst>
        </xdr:cNvPr>
        <xdr:cNvSpPr/>
      </xdr:nvSpPr>
      <xdr:spPr>
        <a:xfrm>
          <a:off x="6858000" y="933792"/>
          <a:ext cx="2193512" cy="768802"/>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6E92C95-93E2-409E-B12A-E2B86DA2730F}" type="TxLink">
            <a:rPr lang="en-US" sz="2000" b="1" i="0" u="none" strike="noStrike">
              <a:solidFill>
                <a:srgbClr val="C00000"/>
              </a:solidFill>
              <a:latin typeface="Calibri"/>
              <a:cs typeface="Calibri"/>
            </a:rPr>
            <a:pPr algn="ctr"/>
            <a:t>₦2.1M</a:t>
          </a:fld>
          <a:endParaRPr lang="en-US" sz="2000">
            <a:solidFill>
              <a:srgbClr val="C00000"/>
            </a:solidFill>
          </a:endParaRPr>
        </a:p>
      </xdr:txBody>
    </xdr:sp>
    <xdr:clientData/>
  </xdr:twoCellAnchor>
  <xdr:twoCellAnchor>
    <xdr:from>
      <xdr:col>10</xdr:col>
      <xdr:colOff>797113</xdr:colOff>
      <xdr:row>3</xdr:row>
      <xdr:rowOff>156345</xdr:rowOff>
    </xdr:from>
    <xdr:to>
      <xdr:col>12</xdr:col>
      <xdr:colOff>376134</xdr:colOff>
      <xdr:row>4</xdr:row>
      <xdr:rowOff>251595</xdr:rowOff>
    </xdr:to>
    <xdr:sp macro="" textlink="">
      <xdr:nvSpPr>
        <xdr:cNvPr id="16" name="TextBox 15">
          <a:extLst>
            <a:ext uri="{FF2B5EF4-FFF2-40B4-BE49-F238E27FC236}">
              <a16:creationId xmlns:a16="http://schemas.microsoft.com/office/drawing/2014/main" id="{7D946C5D-8E1D-4075-BAB9-F8809552337A}"/>
            </a:ext>
          </a:extLst>
        </xdr:cNvPr>
        <xdr:cNvSpPr txBox="1"/>
      </xdr:nvSpPr>
      <xdr:spPr>
        <a:xfrm>
          <a:off x="7416988" y="989783"/>
          <a:ext cx="1341146" cy="28575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642D"/>
              </a:solidFill>
            </a:rPr>
            <a:t>Average</a:t>
          </a:r>
          <a:r>
            <a:rPr lang="en-US" sz="1400" baseline="0"/>
            <a:t> </a:t>
          </a:r>
          <a:r>
            <a:rPr lang="en-US" sz="1400" b="1" baseline="0">
              <a:solidFill>
                <a:srgbClr val="00642D"/>
              </a:solidFill>
            </a:rPr>
            <a:t>Sales</a:t>
          </a:r>
          <a:endParaRPr lang="en-US" sz="1400" b="1">
            <a:solidFill>
              <a:srgbClr val="00642D"/>
            </a:solidFill>
          </a:endParaRPr>
        </a:p>
      </xdr:txBody>
    </xdr:sp>
    <xdr:clientData/>
  </xdr:twoCellAnchor>
  <xdr:twoCellAnchor>
    <xdr:from>
      <xdr:col>13</xdr:col>
      <xdr:colOff>202406</xdr:colOff>
      <xdr:row>3</xdr:row>
      <xdr:rowOff>83342</xdr:rowOff>
    </xdr:from>
    <xdr:to>
      <xdr:col>16</xdr:col>
      <xdr:colOff>139129</xdr:colOff>
      <xdr:row>5</xdr:row>
      <xdr:rowOff>238124</xdr:rowOff>
    </xdr:to>
    <xdr:sp macro="" textlink="N5">
      <xdr:nvSpPr>
        <xdr:cNvPr id="19" name="Rectangle: Rounded Corners 18">
          <a:extLst>
            <a:ext uri="{FF2B5EF4-FFF2-40B4-BE49-F238E27FC236}">
              <a16:creationId xmlns:a16="http://schemas.microsoft.com/office/drawing/2014/main" id="{40C852B8-ECC9-410C-BF18-0B0411850533}"/>
            </a:ext>
          </a:extLst>
        </xdr:cNvPr>
        <xdr:cNvSpPr/>
      </xdr:nvSpPr>
      <xdr:spPr>
        <a:xfrm>
          <a:off x="10679906" y="928820"/>
          <a:ext cx="2740712" cy="807619"/>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3FD1D4A-D411-4A3E-902F-8BCF1B46F90D}" type="TxLink">
            <a:rPr lang="en-US" sz="2000" b="1" i="0" u="none" strike="noStrike">
              <a:solidFill>
                <a:srgbClr val="C00000"/>
              </a:solidFill>
              <a:latin typeface="Calibri"/>
              <a:cs typeface="Calibri"/>
            </a:rPr>
            <a:pPr algn="ctr"/>
            <a:t>₦138.8M</a:t>
          </a:fld>
          <a:endParaRPr lang="en-US" sz="2000" b="1">
            <a:solidFill>
              <a:srgbClr val="C00000"/>
            </a:solidFill>
          </a:endParaRPr>
        </a:p>
      </xdr:txBody>
    </xdr:sp>
    <xdr:clientData/>
  </xdr:twoCellAnchor>
  <xdr:twoCellAnchor>
    <xdr:from>
      <xdr:col>13</xdr:col>
      <xdr:colOff>1028851</xdr:colOff>
      <xdr:row>3</xdr:row>
      <xdr:rowOff>164814</xdr:rowOff>
    </xdr:from>
    <xdr:to>
      <xdr:col>15</xdr:col>
      <xdr:colOff>62191</xdr:colOff>
      <xdr:row>4</xdr:row>
      <xdr:rowOff>271970</xdr:rowOff>
    </xdr:to>
    <xdr:sp macro="" textlink="">
      <xdr:nvSpPr>
        <xdr:cNvPr id="20" name="TextBox 19">
          <a:extLst>
            <a:ext uri="{FF2B5EF4-FFF2-40B4-BE49-F238E27FC236}">
              <a16:creationId xmlns:a16="http://schemas.microsoft.com/office/drawing/2014/main" id="{BEBBF099-A4A5-4935-891D-5A7B40C0BA13}"/>
            </a:ext>
          </a:extLst>
        </xdr:cNvPr>
        <xdr:cNvSpPr txBox="1"/>
      </xdr:nvSpPr>
      <xdr:spPr>
        <a:xfrm>
          <a:off x="10018070" y="998252"/>
          <a:ext cx="724027" cy="297656"/>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642D"/>
              </a:solidFill>
            </a:rPr>
            <a:t>Profit</a:t>
          </a:r>
        </a:p>
      </xdr:txBody>
    </xdr:sp>
    <xdr:clientData/>
  </xdr:twoCellAnchor>
  <xdr:twoCellAnchor>
    <xdr:from>
      <xdr:col>11</xdr:col>
      <xdr:colOff>128429</xdr:colOff>
      <xdr:row>6</xdr:row>
      <xdr:rowOff>15623</xdr:rowOff>
    </xdr:from>
    <xdr:to>
      <xdr:col>16</xdr:col>
      <xdr:colOff>2</xdr:colOff>
      <xdr:row>15</xdr:row>
      <xdr:rowOff>119062</xdr:rowOff>
    </xdr:to>
    <xdr:graphicFrame macro="">
      <xdr:nvGraphicFramePr>
        <xdr:cNvPr id="21" name="Chart 20">
          <a:extLst>
            <a:ext uri="{FF2B5EF4-FFF2-40B4-BE49-F238E27FC236}">
              <a16:creationId xmlns:a16="http://schemas.microsoft.com/office/drawing/2014/main" id="{1D188561-FF8A-4FE5-A55A-B5361F066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xdr:row>
      <xdr:rowOff>4922</xdr:rowOff>
    </xdr:from>
    <xdr:to>
      <xdr:col>8</xdr:col>
      <xdr:colOff>374579</xdr:colOff>
      <xdr:row>26</xdr:row>
      <xdr:rowOff>181939</xdr:rowOff>
    </xdr:to>
    <xdr:graphicFrame macro="">
      <xdr:nvGraphicFramePr>
        <xdr:cNvPr id="23" name="Chart 22">
          <a:extLst>
            <a:ext uri="{FF2B5EF4-FFF2-40B4-BE49-F238E27FC236}">
              <a16:creationId xmlns:a16="http://schemas.microsoft.com/office/drawing/2014/main" id="{E25640D4-0930-49B6-BEA4-C2C854B0C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404812</xdr:colOff>
      <xdr:row>15</xdr:row>
      <xdr:rowOff>119062</xdr:rowOff>
    </xdr:from>
    <xdr:to>
      <xdr:col>15</xdr:col>
      <xdr:colOff>599325</xdr:colOff>
      <xdr:row>26</xdr:row>
      <xdr:rowOff>181938</xdr:rowOff>
    </xdr:to>
    <xdr:graphicFrame macro="">
      <xdr:nvGraphicFramePr>
        <xdr:cNvPr id="14" name="Chart 13">
          <a:extLst>
            <a:ext uri="{FF2B5EF4-FFF2-40B4-BE49-F238E27FC236}">
              <a16:creationId xmlns:a16="http://schemas.microsoft.com/office/drawing/2014/main" id="{D4944707-8D26-4E40-99C8-B6E60F02C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278257</xdr:colOff>
      <xdr:row>6</xdr:row>
      <xdr:rowOff>21404</xdr:rowOff>
    </xdr:from>
    <xdr:to>
      <xdr:col>11</xdr:col>
      <xdr:colOff>96320</xdr:colOff>
      <xdr:row>15</xdr:row>
      <xdr:rowOff>85618</xdr:rowOff>
    </xdr:to>
    <xdr:graphicFrame macro="">
      <xdr:nvGraphicFramePr>
        <xdr:cNvPr id="17" name="Chart 16">
          <a:extLst>
            <a:ext uri="{FF2B5EF4-FFF2-40B4-BE49-F238E27FC236}">
              <a16:creationId xmlns:a16="http://schemas.microsoft.com/office/drawing/2014/main" id="{AEB7D169-CABA-4BE8-BC29-1D530019F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 refreshedDate="46034.905083217593" createdVersion="7" refreshedVersion="7" minRefreshableVersion="3" recordCount="234" xr:uid="{8763906F-6906-4654-B924-29B7E6040911}">
  <cacheSource type="worksheet">
    <worksheetSource ref="A1:M1048576" sheet="Sales"/>
  </cacheSource>
  <cacheFields count="14">
    <cacheField name="Sales_id" numFmtId="0">
      <sharedItems containsBlank="1"/>
    </cacheField>
    <cacheField name="Product_id" numFmtId="0">
      <sharedItems containsBlank="1"/>
    </cacheField>
    <cacheField name="Category" numFmtId="0">
      <sharedItems containsBlank="1" count="13">
        <s v="Agricultural Equipment"/>
        <s v="Agricultural Machine"/>
        <s v="Safety Equipment"/>
        <s v="Processing Equipment"/>
        <s v="Storage Equipment"/>
        <s v="Harvesting Equipment"/>
        <s v="Power Equipment"/>
        <s v="Fabrication Tools"/>
        <s v="Industrial Equipment"/>
        <s v="Agricultural Structure"/>
        <s v="Agriculture Equipment"/>
        <s v="Energy Equipment"/>
        <m/>
      </sharedItems>
    </cacheField>
    <cacheField name="Customer_id" numFmtId="0">
      <sharedItems containsBlank="1" count="146">
        <s v="CUST176"/>
        <s v="CUST022"/>
        <s v="CUST079"/>
        <s v="CUST198"/>
        <s v="CUST051"/>
        <s v="CUST228"/>
        <s v="CUST217"/>
        <s v="CUST247"/>
        <s v="CUST042"/>
        <s v="CUST187"/>
        <s v="CUST196"/>
        <s v="CUST231"/>
        <s v="CUST054"/>
        <s v="CUST146"/>
        <s v="CUST239"/>
        <s v="CUST201"/>
        <s v="CUST230"/>
        <s v="CUST206"/>
        <s v="CUST190"/>
        <s v="CUST142"/>
        <s v="CUST205"/>
        <s v="CUST015"/>
        <s v="CUST162"/>
        <s v="CUST182"/>
        <s v="CUST097"/>
        <s v="CUST115"/>
        <s v="CUST078"/>
        <s v="CUST007"/>
        <s v="CUST104"/>
        <s v="CUST034"/>
        <s v="CUST040"/>
        <s v="CUST114"/>
        <s v="CUST248"/>
        <s v="CUST155"/>
        <s v="CUST148"/>
        <s v="CUST120"/>
        <s v="CUST178"/>
        <s v="CUST073"/>
        <s v="CUST209"/>
        <s v="CUST173"/>
        <s v="CUST044"/>
        <s v="CUST001"/>
        <s v="CUST219"/>
        <s v="CUST243"/>
        <s v="CUST240"/>
        <s v="CUST027"/>
        <s v="CUST135"/>
        <s v="CUST064"/>
        <s v="CUST086"/>
        <s v="CUST052"/>
        <s v="CUST156"/>
        <s v="CUST153"/>
        <s v="CUST049"/>
        <s v="CUST050"/>
        <s v="CUST224"/>
        <s v="CUST149"/>
        <s v="CUST013"/>
        <s v="CUST021"/>
        <s v="CUST112"/>
        <s v="CUST141"/>
        <s v="CUST102"/>
        <s v="CUST036"/>
        <s v="CUST161"/>
        <s v="CUST088"/>
        <s v="CUST168"/>
        <s v="CUST245"/>
        <s v="CUST023"/>
        <s v="CUST074"/>
        <s v="CUST197"/>
        <s v="CUST107"/>
        <s v="CUST035"/>
        <s v="CUST183"/>
        <s v="CUST048"/>
        <s v="CUST249"/>
        <s v="CUST031"/>
        <s v="CUST111"/>
        <s v="CUST139"/>
        <s v="CUST177"/>
        <s v="CUST208"/>
        <s v="CUST067"/>
        <s v="CUST012"/>
        <s v="CUST227"/>
        <s v="CUST024"/>
        <s v="CUST164"/>
        <s v="CUST087"/>
        <s v="CUST071"/>
        <s v="CUST069"/>
        <s v="CUST033"/>
        <s v="CUST119"/>
        <s v="CUST075"/>
        <s v="CUST116"/>
        <s v="CUST179"/>
        <s v="CUST213"/>
        <s v="CUST089"/>
        <s v="CUST152"/>
        <s v="CUST238"/>
        <s v="CUST165"/>
        <s v="CUST130"/>
        <s v="CUST174"/>
        <s v="CUST175"/>
        <s v="CUST222"/>
        <s v="CUST140"/>
        <s v="CUST123"/>
        <s v="CUST229"/>
        <s v="CUST194"/>
        <s v="CUST028"/>
        <s v="CUST210"/>
        <s v="CUST202"/>
        <s v="CUST016"/>
        <s v="CUST058"/>
        <s v="CUST226"/>
        <s v="CUST109"/>
        <s v="CUST163"/>
        <s v="CUST246"/>
        <s v="CUST193"/>
        <s v="CUST207"/>
        <s v="CUST041"/>
        <s v="CUST055"/>
        <s v="CUST061"/>
        <s v="CUST091"/>
        <s v="CUST186"/>
        <s v="CUST128"/>
        <s v="CUST117"/>
        <s v="CUST062"/>
        <s v="CUST138"/>
        <s v="CUST225"/>
        <s v="CUST192"/>
        <s v="CUST137"/>
        <s v="CUST189"/>
        <s v="CUST143"/>
        <s v="CUST126"/>
        <s v="CUST059"/>
        <s v="CUST082"/>
        <s v="CUST185"/>
        <s v="CUST214"/>
        <s v="CUST166"/>
        <s v="CUST204"/>
        <s v="CUST216"/>
        <s v="CUST211"/>
        <s v="CUST046"/>
        <s v="CUST008"/>
        <s v="CUST098"/>
        <s v="CUST124"/>
        <s v="CUST081"/>
        <s v="CUST167"/>
        <m/>
      </sharedItems>
    </cacheField>
    <cacheField name="Customer_name" numFmtId="0">
      <sharedItems containsBlank="1" count="114">
        <s v="Funmilayo Akintola"/>
        <s v="Aminat Hassan"/>
        <s v="Blessing Egwu"/>
        <s v="Kudirat Ahmed"/>
        <s v="Halima Abubakar"/>
        <s v="Joyce Akpan"/>
        <s v="Lawrence Okoro"/>
        <s v="Esther Peter"/>
        <s v="Ahmed Ibrahim"/>
        <s v="Suleiman Ahmed"/>
        <s v="Habibat Bello"/>
        <s v="Blessing Nwachukwu"/>
        <s v="Aisha Mohammed"/>
        <s v="Miriam Okoro"/>
        <s v="Chinaza Eze"/>
        <s v="Maryam Yusuf"/>
        <s v="Rebecca Ayo"/>
        <s v="Esther Chukwu"/>
        <s v="Ebere Okoro"/>
        <s v="Michael Obi"/>
        <s v="David Eze"/>
        <s v="Salatu Abdullahi"/>
        <s v="Oluwafunke Ayo"/>
        <s v="Obinna Nwosu"/>
        <s v="Barakat Lawal"/>
        <s v="Sandra Adebayo"/>
        <s v="Halima Musa"/>
        <s v="Joseph Anene"/>
        <s v="Joy Okafor"/>
        <s v="Mariam Yusuf"/>
        <s v="Danladi Ibrahim"/>
        <s v="Daniel Peter"/>
        <s v="Chika Eze"/>
        <s v="Usman Bello"/>
        <s v="Nkiru Obi"/>
        <s v="Emmanuel John"/>
        <s v="Sarah Chima"/>
        <s v="Chinedu Okafor"/>
        <s v="Umar Mohammed"/>
        <s v="Patience Nwankwo"/>
        <s v="Felix Johnson"/>
        <s v="Victor Adekunle"/>
        <s v="Lilian Ajayi"/>
        <s v="Lydia John"/>
        <s v="Joy Alade"/>
        <s v="Adamu Bello"/>
        <s v="Joy Uche"/>
        <s v="Nneka Okeke"/>
        <s v="Funke Adeyemi"/>
        <s v="Emeka Igbo"/>
        <s v="Samuel Eze"/>
        <s v="Peace Okeke"/>
        <s v="Timileyin Afolabi"/>
        <s v="Bashir Mohammed"/>
        <s v="Kemi Olatunde"/>
        <s v="Aisha Bello"/>
        <s v="Mohammed Lawal"/>
        <s v="Oluwaseun Adebayo"/>
        <s v="Chioma Ude"/>
        <s v="Halimat Lawal"/>
        <s v="Aisha Suleman"/>
        <s v="Emmanuel Nwachukwu"/>
        <s v="Hadiza Ali"/>
        <s v="Somtochukwu Eze"/>
        <s v="Victoria Eze"/>
        <s v="Chukwuemeka Igwe"/>
        <s v="Oluwatobi Akinola"/>
        <s v="Muhammad Sani"/>
        <s v="Sa’adu Muhammed"/>
        <s v="Sophia Ade"/>
        <s v="Tope Okunola"/>
        <s v="Farouk Bello"/>
        <s v="Halimat Taiwo"/>
        <s v="Ayodele Akin"/>
        <s v="Chukwu David"/>
        <s v="Halima Abdullahi"/>
        <s v="Ifunanya Obi"/>
        <s v="Ahmed Yusuf"/>
        <s v="Racheal John"/>
        <s v="Comfort Eze"/>
        <s v="Abubakar Sani"/>
        <s v="Bukola Adeyemi"/>
        <s v="Aliyu Yusuf"/>
        <s v="Jide Adekunle"/>
        <s v="Simon Peter"/>
        <s v="Amina Musa"/>
        <s v="Hauwa Ali"/>
        <s v="Ruth Esther"/>
        <s v="Daniel Musa"/>
        <s v="Chinelo Okafor"/>
        <s v="Hope Chukwu"/>
        <s v="Adetola Williams"/>
        <s v="Benedict Eze"/>
        <s v="Olalekan Akin"/>
        <s v="Joyce Eze"/>
        <s v="Patrick Adebayo"/>
        <s v="Ify Obi"/>
        <s v="Olufemi Adewale"/>
        <s v="Rebecca John"/>
        <s v="Taiwo Olatunji"/>
        <s v="Mohammed Abdullahi"/>
        <s v="Pascal Chukwu"/>
        <s v="Precious Obi"/>
        <s v="Joyce Okon"/>
        <s v="Zainab Abdullahi"/>
        <s v="Ahmed Bello"/>
        <s v="Rasheedat Bello"/>
        <s v="Patience Umeh"/>
        <s v="Josephine Dan"/>
        <s v="Florence Umeh"/>
        <s v="Abiola Adeniyi"/>
        <s v="Amara Nwosu"/>
        <s v="Patience Adebisi"/>
        <m/>
      </sharedItems>
    </cacheField>
    <cacheField name="Date" numFmtId="0">
      <sharedItems containsNonDate="0" containsDate="1" containsString="0" containsBlank="1" minDate="2025-01-01T00:00:00" maxDate="2026-03-01T00:00:00" count="187">
        <d v="2025-01-13T00:00:00"/>
        <d v="2025-01-06T00:00:00"/>
        <d v="2025-01-16T00:00:00"/>
        <d v="2025-01-28T00:00:00"/>
        <d v="2025-01-01T00:00:00"/>
        <d v="2025-01-24T00:00:00"/>
        <d v="2025-01-07T00:00:00"/>
        <d v="2025-01-31T00:00:00"/>
        <d v="2025-01-20T00:00:00"/>
        <d v="2025-01-30T00:00:00"/>
        <d v="2025-01-04T00:00:00"/>
        <d v="2025-01-23T00:00:00"/>
        <d v="2025-01-22T00:00:00"/>
        <d v="2025-01-25T00:00:00"/>
        <d v="2025-02-16T00:00:00"/>
        <d v="2025-02-10T00:00:00"/>
        <d v="2025-02-13T00:00:00"/>
        <d v="2025-02-25T00:00:00"/>
        <d v="2025-02-19T00:00:00"/>
        <d v="2025-02-12T00:00:00"/>
        <d v="2025-02-15T00:00:00"/>
        <d v="2025-02-26T00:00:00"/>
        <d v="2025-02-18T00:00:00"/>
        <d v="2025-02-11T00:00:00"/>
        <d v="2025-02-20T00:00:00"/>
        <d v="2025-02-27T00:00:00"/>
        <d v="2025-02-17T00:00:00"/>
        <d v="2025-03-24T00:00:00"/>
        <d v="2025-03-30T00:00:00"/>
        <d v="2025-03-23T00:00:00"/>
        <d v="2025-03-05T00:00:00"/>
        <d v="2025-03-15T00:00:00"/>
        <d v="2025-03-21T00:00:00"/>
        <d v="2025-03-19T00:00:00"/>
        <d v="2025-03-09T00:00:00"/>
        <d v="2025-03-26T00:00:00"/>
        <d v="2025-03-31T00:00:00"/>
        <d v="2025-03-10T00:00:00"/>
        <d v="2025-03-29T00:00:00"/>
        <d v="2025-03-25T00:00:00"/>
        <d v="2025-03-08T00:00:00"/>
        <d v="2025-04-28T00:00:00"/>
        <d v="2025-04-25T00:00:00"/>
        <d v="2025-04-16T00:00:00"/>
        <d v="2025-04-18T00:00:00"/>
        <d v="2025-04-06T00:00:00"/>
        <d v="2025-04-29T00:00:00"/>
        <d v="2025-04-05T00:00:00"/>
        <d v="2025-04-04T00:00:00"/>
        <d v="2025-04-02T00:00:00"/>
        <d v="2025-04-21T00:00:00"/>
        <d v="2025-04-14T00:00:00"/>
        <d v="2025-04-09T00:00:00"/>
        <d v="2025-04-23T00:00:00"/>
        <d v="2025-04-01T00:00:00"/>
        <d v="2025-05-25T00:00:00"/>
        <d v="2025-05-06T00:00:00"/>
        <d v="2025-05-10T00:00:00"/>
        <d v="2025-05-09T00:00:00"/>
        <d v="2025-05-02T00:00:00"/>
        <d v="2025-05-19T00:00:00"/>
        <d v="2025-05-29T00:00:00"/>
        <d v="2025-05-04T00:00:00"/>
        <d v="2025-05-15T00:00:00"/>
        <d v="2025-05-26T00:00:00"/>
        <d v="2025-05-03T00:00:00"/>
        <d v="2025-05-31T00:00:00"/>
        <d v="2025-05-05T00:00:00"/>
        <d v="2025-05-07T00:00:00"/>
        <d v="2025-06-09T00:00:00"/>
        <d v="2025-06-06T00:00:00"/>
        <d v="2025-06-29T00:00:00"/>
        <d v="2025-06-17T00:00:00"/>
        <d v="2025-06-24T00:00:00"/>
        <d v="2025-06-25T00:00:00"/>
        <d v="2025-06-01T00:00:00"/>
        <d v="2025-06-07T00:00:00"/>
        <d v="2025-06-08T00:00:00"/>
        <d v="2025-06-12T00:00:00"/>
        <d v="2025-06-11T00:00:00"/>
        <d v="2025-06-19T00:00:00"/>
        <d v="2025-06-26T00:00:00"/>
        <d v="2025-06-04T00:00:00"/>
        <d v="2025-07-26T00:00:00"/>
        <d v="2025-07-16T00:00:00"/>
        <d v="2025-07-23T00:00:00"/>
        <d v="2025-07-15T00:00:00"/>
        <d v="2025-07-21T00:00:00"/>
        <d v="2025-07-17T00:00:00"/>
        <d v="2025-07-24T00:00:00"/>
        <d v="2025-07-10T00:00:00"/>
        <d v="2025-07-02T00:00:00"/>
        <d v="2025-07-06T00:00:00"/>
        <d v="2025-07-07T00:00:00"/>
        <d v="2025-07-09T00:00:00"/>
        <d v="2025-07-08T00:00:00"/>
        <d v="2025-08-23T00:00:00"/>
        <d v="2025-08-17T00:00:00"/>
        <d v="2025-08-14T00:00:00"/>
        <d v="2025-08-16T00:00:00"/>
        <d v="2025-08-28T00:00:00"/>
        <d v="2025-08-29T00:00:00"/>
        <d v="2025-08-20T00:00:00"/>
        <d v="2025-08-18T00:00:00"/>
        <d v="2025-08-09T00:00:00"/>
        <d v="2025-08-26T00:00:00"/>
        <d v="2025-08-15T00:00:00"/>
        <d v="2025-08-11T00:00:00"/>
        <d v="2025-08-04T00:00:00"/>
        <d v="2025-08-25T00:00:00"/>
        <d v="2025-09-21T00:00:00"/>
        <d v="2025-09-05T00:00:00"/>
        <d v="2025-09-28T00:00:00"/>
        <d v="2025-09-14T00:00:00"/>
        <d v="2025-09-22T00:00:00"/>
        <d v="2025-09-03T00:00:00"/>
        <d v="2025-09-24T00:00:00"/>
        <d v="2025-09-18T00:00:00"/>
        <d v="2025-09-16T00:00:00"/>
        <d v="2025-09-25T00:00:00"/>
        <d v="2025-09-10T00:00:00"/>
        <d v="2025-09-26T00:00:00"/>
        <d v="2025-09-30T00:00:00"/>
        <d v="2025-10-24T00:00:00"/>
        <d v="2025-10-04T00:00:00"/>
        <d v="2025-10-10T00:00:00"/>
        <d v="2025-10-21T00:00:00"/>
        <d v="2025-10-14T00:00:00"/>
        <d v="2025-10-22T00:00:00"/>
        <d v="2025-10-20T00:00:00"/>
        <d v="2025-10-31T00:00:00"/>
        <d v="2025-10-08T00:00:00"/>
        <d v="2025-10-09T00:00:00"/>
        <d v="2025-10-19T00:00:00"/>
        <d v="2025-10-12T00:00:00"/>
        <d v="2025-10-18T00:00:00"/>
        <d v="2025-10-02T00:00:00"/>
        <d v="2025-10-17T00:00:00"/>
        <d v="2025-11-30T00:00:00"/>
        <d v="2025-11-26T00:00:00"/>
        <d v="2025-11-20T00:00:00"/>
        <d v="2025-11-02T00:00:00"/>
        <d v="2025-11-10T00:00:00"/>
        <d v="2025-11-07T00:00:00"/>
        <d v="2025-11-03T00:00:00"/>
        <d v="2025-11-01T00:00:00"/>
        <d v="2025-11-22T00:00:00"/>
        <d v="2025-11-13T00:00:00"/>
        <d v="2025-11-11T00:00:00"/>
        <d v="2025-11-14T00:00:00"/>
        <d v="2025-12-20T00:00:00"/>
        <d v="2025-12-16T00:00:00"/>
        <d v="2025-12-02T00:00:00"/>
        <d v="2025-12-10T00:00:00"/>
        <d v="2025-12-08T00:00:00"/>
        <d v="2025-12-01T00:00:00"/>
        <d v="2025-12-31T00:00:00"/>
        <d v="2025-12-13T00:00:00"/>
        <d v="2025-12-15T00:00:00"/>
        <d v="2025-12-03T00:00:00"/>
        <d v="2025-12-30T00:00:00"/>
        <d v="2025-12-04T00:00:00"/>
        <d v="2025-12-25T00:00:00"/>
        <d v="2026-01-14T00:00:00"/>
        <d v="2026-01-19T00:00:00"/>
        <d v="2026-01-20T00:00:00"/>
        <d v="2026-01-25T00:00:00"/>
        <d v="2026-01-06T00:00:00"/>
        <d v="2026-01-04T00:00:00"/>
        <d v="2026-01-31T00:00:00"/>
        <d v="2026-01-24T00:00:00"/>
        <d v="2026-01-16T00:00:00"/>
        <d v="2026-01-15T00:00:00"/>
        <d v="2026-01-28T00:00:00"/>
        <d v="2026-01-27T00:00:00"/>
        <d v="2026-01-07T00:00:00"/>
        <d v="2026-02-19T00:00:00"/>
        <d v="2026-02-23T00:00:00"/>
        <d v="2026-02-09T00:00:00"/>
        <d v="2026-02-03T00:00:00"/>
        <d v="2026-02-04T00:00:00"/>
        <d v="2026-02-10T00:00:00"/>
        <d v="2026-02-20T00:00:00"/>
        <d v="2026-02-28T00:00:00"/>
        <d v="2026-02-02T00:00:00"/>
        <d v="2026-02-21T00:00:00"/>
        <m/>
      </sharedItems>
      <fieldGroup par="13" base="5">
        <rangePr groupBy="months" startDate="2025-01-01T00:00:00" endDate="2026-03-01T00:00:00"/>
        <groupItems count="14">
          <s v="(blank)"/>
          <s v="Jan"/>
          <s v="Feb"/>
          <s v="Mar"/>
          <s v="Apr"/>
          <s v="May"/>
          <s v="Jun"/>
          <s v="Jul"/>
          <s v="Aug"/>
          <s v="Sep"/>
          <s v="Oct"/>
          <s v="Nov"/>
          <s v="Dec"/>
          <s v="&gt;3/1/2026"/>
        </groupItems>
      </fieldGroup>
    </cacheField>
    <cacheField name="Quantity_sold" numFmtId="0">
      <sharedItems containsString="0" containsBlank="1" containsNumber="1" containsInteger="1" minValue="1" maxValue="20"/>
    </cacheField>
    <cacheField name="Unit_Price" numFmtId="0">
      <sharedItems containsString="0" containsBlank="1" containsNumber="1" containsInteger="1" minValue="8500" maxValue="950000"/>
    </cacheField>
    <cacheField name="Total_amount" numFmtId="166">
      <sharedItems containsString="0" containsBlank="1" containsNumber="1" containsInteger="1" minValue="15000" maxValue="11730000" count="193">
        <n v="75000"/>
        <n v="72000"/>
        <n v="2310000"/>
        <n v="576000"/>
        <n v="550000"/>
        <n v="3655000"/>
        <n v="816000"/>
        <n v="9300000"/>
        <n v="4340000"/>
        <n v="2475000"/>
        <n v="3280000"/>
        <n v="920000"/>
        <n v="4425000"/>
        <n v="812000"/>
        <n v="275000"/>
        <n v="754000"/>
        <n v="690000"/>
        <n v="148500"/>
        <n v="330000"/>
        <n v="1152000"/>
        <n v="3240000"/>
        <n v="2750000"/>
        <n v="3330000"/>
        <n v="190000"/>
        <n v="340000"/>
        <n v="6900000"/>
        <n v="720000"/>
        <n v="3700000"/>
        <n v="4100000"/>
        <n v="390000"/>
        <n v="884000"/>
        <n v="2030000"/>
        <n v="5000000"/>
        <n v="520000"/>
        <n v="1045000"/>
        <n v="290000"/>
        <n v="1485000"/>
        <n v="136000"/>
        <n v="1305000"/>
        <n v="1475000"/>
        <n v="2360000"/>
        <n v="7120000"/>
        <n v="748000"/>
        <n v="531000"/>
        <n v="46000"/>
        <n v="3560000"/>
        <n v="595000"/>
        <n v="7680000"/>
        <n v="2760000"/>
        <n v="7480000"/>
        <n v="702000"/>
        <n v="240000"/>
        <n v="2790000"/>
        <n v="68000"/>
        <n v="1015000"/>
        <n v="2000000"/>
        <n v="370000"/>
        <n v="2590000"/>
        <n v="608000"/>
        <n v="4560000"/>
        <n v="1170000"/>
        <n v="1980000"/>
        <n v="1050000"/>
        <n v="992000"/>
        <n v="770000"/>
        <n v="975000"/>
        <n v="680000"/>
        <n v="2640000"/>
        <n v="3075000"/>
        <n v="250000"/>
        <n v="612000"/>
        <n v="875000"/>
        <n v="95000"/>
        <n v="420000"/>
        <n v="5605000"/>
        <n v="361000"/>
        <n v="6750000"/>
        <n v="1225000"/>
        <n v="180000"/>
        <n v="1230000"/>
        <n v="156000"/>
        <n v="3250000"/>
        <n v="476000"/>
        <n v="2365000"/>
        <n v="270000"/>
        <n v="525000"/>
        <n v="255000"/>
        <n v="1885000"/>
        <n v="3225000"/>
        <n v="1740000"/>
        <n v="1102000"/>
        <n v="1445000"/>
        <n v="585000"/>
        <n v="168000"/>
        <n v="2160000"/>
        <n v="2035000"/>
        <n v="1235000"/>
        <n v="890000"/>
        <n v="81000"/>
        <n v="82000"/>
        <n v="392000"/>
        <n v="864000"/>
        <n v="92000"/>
        <n v="1680000"/>
        <n v="1014000"/>
        <n v="205000"/>
        <n v="11730000"/>
        <n v="1770000"/>
        <n v="38000"/>
        <n v="1476000"/>
        <n v="6720000"/>
        <n v="15000"/>
        <n v="5015000"/>
        <n v="3465000"/>
        <n v="490000"/>
        <n v="206500"/>
        <n v="522000"/>
        <n v="2700000"/>
        <n v="5740000"/>
        <n v="1725000"/>
        <n v="11480000"/>
        <n v="665000"/>
        <n v="192000"/>
        <n v="10350000"/>
        <n v="1820000"/>
        <n v="1350000"/>
        <n v="161500"/>
        <n v="2535000"/>
        <n v="5270000"/>
        <n v="59500"/>
        <n v="8280000"/>
        <n v="1275000"/>
        <n v="1360000"/>
        <n v="610000"/>
        <n v="4200000"/>
        <n v="504000"/>
        <n v="235000"/>
        <n v="650000"/>
        <n v="2870000"/>
        <n v="3500000"/>
        <n v="450000"/>
        <n v="560000"/>
        <n v="1295000"/>
        <n v="2500000"/>
        <n v="590000"/>
        <n v="7220000"/>
        <n v="8265000"/>
        <n v="60000"/>
        <n v="7650000"/>
        <n v="510000"/>
        <n v="231000"/>
        <n v="4600000"/>
        <n v="682000"/>
        <n v="3780000"/>
        <n v="2800000"/>
        <n v="2730000"/>
        <n v="952000"/>
        <n v="840000"/>
        <n v="3850000"/>
        <n v="2610000"/>
        <n v="2080000"/>
        <n v="1224000"/>
        <n v="624000"/>
        <n v="3150000"/>
        <n v="145000"/>
        <n v="750000"/>
        <n v="4465000"/>
        <n v="132000"/>
        <n v="1088000"/>
        <n v="65000"/>
        <n v="646000"/>
        <n v="506000"/>
        <n v="3010000"/>
        <n v="555000"/>
        <n v="4830000"/>
        <n v="4510000"/>
        <n v="8550000"/>
        <n v="108000"/>
        <n v="760000"/>
        <n v="247000"/>
        <n v="1365000"/>
        <n v="5700000"/>
        <n v="10400000"/>
        <n v="2805000"/>
        <n v="3550000"/>
        <n v="1890000"/>
        <n v="3995000"/>
        <n v="11050000"/>
        <n v="780000"/>
        <n v="110000"/>
        <n v="10800000"/>
        <n v="885000"/>
        <m/>
      </sharedItems>
    </cacheField>
    <cacheField name="Payment_method" numFmtId="0">
      <sharedItems containsBlank="1"/>
    </cacheField>
    <cacheField name="Sales_rep" numFmtId="0">
      <sharedItems containsBlank="1"/>
    </cacheField>
    <cacheField name="Region" numFmtId="0">
      <sharedItems containsBlank="1" count="7">
        <s v="Ibadan"/>
        <s v="Enugu"/>
        <s v="Kano"/>
        <s v="Kaduna"/>
        <s v="Portharcourt"/>
        <s v="Lagos"/>
        <m/>
      </sharedItems>
    </cacheField>
    <cacheField name="Quarters" numFmtId="0" databaseField="0">
      <fieldGroup base="5">
        <rangePr groupBy="quarters" startDate="2025-01-01T00:00:00" endDate="2026-03-01T00:00:00"/>
        <groupItems count="6">
          <s v="&lt;1/1/2025"/>
          <s v="Qtr1"/>
          <s v="Qtr2"/>
          <s v="Qtr3"/>
          <s v="Qtr4"/>
          <s v="&gt;3/1/2026"/>
        </groupItems>
      </fieldGroup>
    </cacheField>
    <cacheField name="Years" numFmtId="0" databaseField="0">
      <fieldGroup base="5">
        <rangePr groupBy="years" startDate="2025-01-01T00:00:00" endDate="2026-03-01T00:00:00"/>
        <groupItems count="4">
          <s v="&lt;1/1/2025"/>
          <s v="2025"/>
          <s v="2026"/>
          <s v="&gt;3/1/2026"/>
        </groupItems>
      </fieldGroup>
    </cacheField>
  </cacheFields>
  <extLst>
    <ext xmlns:x14="http://schemas.microsoft.com/office/spreadsheetml/2009/9/main" uri="{725AE2AE-9491-48be-B2B4-4EB974FC3084}">
      <x14:pivotCacheDefinition pivotCacheId="835721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 refreshedDate="46037.502175000001" createdVersion="7" refreshedVersion="7" minRefreshableVersion="3" recordCount="233" xr:uid="{45E3E679-2508-4AD3-9460-23F2550F0FED}">
  <cacheSource type="worksheet">
    <worksheetSource name="tblSales"/>
  </cacheSource>
  <cacheFields count="14">
    <cacheField name="Sales_id" numFmtId="0">
      <sharedItems/>
    </cacheField>
    <cacheField name="Product_id" numFmtId="0">
      <sharedItems/>
    </cacheField>
    <cacheField name="Category" numFmtId="0">
      <sharedItems/>
    </cacheField>
    <cacheField name="Customer_id" numFmtId="0">
      <sharedItems/>
    </cacheField>
    <cacheField name="Customer_name" numFmtId="14">
      <sharedItems/>
    </cacheField>
    <cacheField name="Date" numFmtId="165">
      <sharedItems containsSemiMixedTypes="0" containsNonDate="0" containsDate="1" containsString="0" minDate="2025-01-01T00:00:00" maxDate="2026-03-01T00:00:00"/>
    </cacheField>
    <cacheField name="Quantity_sold" numFmtId="0">
      <sharedItems containsSemiMixedTypes="0" containsString="0" containsNumber="1" containsInteger="1" minValue="1" maxValue="20"/>
    </cacheField>
    <cacheField name="Cost_price" numFmtId="166">
      <sharedItems containsSemiMixedTypes="0" containsString="0" containsNumber="1" containsInteger="1" minValue="4500" maxValue="720000"/>
    </cacheField>
    <cacheField name="Unit_Price" numFmtId="166">
      <sharedItems containsSemiMixedTypes="0" containsString="0" containsNumber="1" containsInteger="1" minValue="8500" maxValue="950000"/>
    </cacheField>
    <cacheField name="Total_amount" numFmtId="166">
      <sharedItems containsSemiMixedTypes="0" containsString="0" containsNumber="1" containsInteger="1" minValue="15000" maxValue="11730000"/>
    </cacheField>
    <cacheField name="Payment_method" numFmtId="0">
      <sharedItems count="3">
        <s v="Transfer"/>
        <s v="POS"/>
        <s v="Cash"/>
      </sharedItems>
    </cacheField>
    <cacheField name="Sales_rep" numFmtId="0">
      <sharedItems/>
    </cacheField>
    <cacheField name="Region" numFmtId="0">
      <sharedItems count="6">
        <s v="Ibadan"/>
        <s v="Enugu"/>
        <s v="Kano"/>
        <s v="Kaduna"/>
        <s v="Portharcourt"/>
        <s v="Lagos"/>
      </sharedItems>
    </cacheField>
    <cacheField name="Profit" numFmtId="166">
      <sharedItems containsSemiMixedTypes="0" containsString="0" containsNumber="1" containsInteger="1" minValue="6500" maxValue="30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s v="SAL001"/>
    <s v="P083"/>
    <x v="0"/>
    <x v="0"/>
    <x v="0"/>
    <x v="0"/>
    <n v="5"/>
    <n v="15000"/>
    <x v="0"/>
    <s v="Transfer"/>
    <s v="Sadiq Bello"/>
    <x v="0"/>
  </r>
  <r>
    <s v="SAL002"/>
    <s v="P008"/>
    <x v="0"/>
    <x v="1"/>
    <x v="1"/>
    <x v="1"/>
    <n v="3"/>
    <n v="24000"/>
    <x v="1"/>
    <s v="POS"/>
    <s v="Segun Ajayi"/>
    <x v="0"/>
  </r>
  <r>
    <s v="SAL003"/>
    <s v="P001"/>
    <x v="1"/>
    <x v="2"/>
    <x v="2"/>
    <x v="2"/>
    <n v="14"/>
    <n v="165000"/>
    <x v="2"/>
    <s v="Cash"/>
    <s v="Fatima Abdullahi"/>
    <x v="1"/>
  </r>
  <r>
    <s v="SAL004"/>
    <s v="P022"/>
    <x v="0"/>
    <x v="3"/>
    <x v="3"/>
    <x v="1"/>
    <n v="12"/>
    <n v="48000"/>
    <x v="3"/>
    <s v="Transfer"/>
    <s v="Segun Ajayi"/>
    <x v="2"/>
  </r>
  <r>
    <s v="SAL005"/>
    <s v="P054"/>
    <x v="2"/>
    <x v="4"/>
    <x v="4"/>
    <x v="3"/>
    <n v="10"/>
    <n v="55000"/>
    <x v="4"/>
    <s v="POS"/>
    <s v="Ebele Okoro"/>
    <x v="3"/>
  </r>
  <r>
    <s v="SAL006"/>
    <s v="P041"/>
    <x v="1"/>
    <x v="5"/>
    <x v="5"/>
    <x v="4"/>
    <n v="17"/>
    <n v="215000"/>
    <x v="5"/>
    <s v="Cash"/>
    <s v="Sadiq Bello"/>
    <x v="4"/>
  </r>
  <r>
    <s v="SAL007"/>
    <s v="P022"/>
    <x v="0"/>
    <x v="6"/>
    <x v="6"/>
    <x v="5"/>
    <n v="17"/>
    <n v="48000"/>
    <x v="6"/>
    <s v="Cash"/>
    <s v="Fatima Abdullahi"/>
    <x v="4"/>
  </r>
  <r>
    <s v="SAL008"/>
    <s v="P088"/>
    <x v="3"/>
    <x v="7"/>
    <x v="7"/>
    <x v="6"/>
    <n v="6"/>
    <n v="385000"/>
    <x v="2"/>
    <s v="Transfer"/>
    <s v="Sadiq Bello"/>
    <x v="5"/>
  </r>
  <r>
    <s v="SAL009"/>
    <s v="P049"/>
    <x v="4"/>
    <x v="8"/>
    <x v="8"/>
    <x v="7"/>
    <n v="20"/>
    <n v="465000"/>
    <x v="7"/>
    <s v="POS"/>
    <s v="Olufemi Adewale"/>
    <x v="0"/>
  </r>
  <r>
    <s v="SAL010"/>
    <s v="P097"/>
    <x v="5"/>
    <x v="9"/>
    <x v="9"/>
    <x v="8"/>
    <n v="14"/>
    <n v="310000"/>
    <x v="8"/>
    <s v="Cash"/>
    <s v="Fatima Abdullahi"/>
    <x v="1"/>
  </r>
  <r>
    <s v="SAL011"/>
    <s v="P043"/>
    <x v="1"/>
    <x v="10"/>
    <x v="10"/>
    <x v="1"/>
    <n v="15"/>
    <n v="165000"/>
    <x v="9"/>
    <s v="Transfer"/>
    <s v="Olufemi Adewale"/>
    <x v="2"/>
  </r>
  <r>
    <s v="SAL012"/>
    <s v="P037"/>
    <x v="1"/>
    <x v="11"/>
    <x v="11"/>
    <x v="9"/>
    <n v="4"/>
    <n v="820000"/>
    <x v="10"/>
    <s v="Cash"/>
    <s v="Ebele Okoro"/>
    <x v="1"/>
  </r>
  <r>
    <s v="SAL013"/>
    <s v="P084"/>
    <x v="6"/>
    <x v="12"/>
    <x v="12"/>
    <x v="10"/>
    <n v="20"/>
    <n v="46000"/>
    <x v="11"/>
    <s v="POS"/>
    <s v="Segun Ajayi"/>
    <x v="2"/>
  </r>
  <r>
    <s v="SAL014"/>
    <s v="P064"/>
    <x v="4"/>
    <x v="13"/>
    <x v="13"/>
    <x v="11"/>
    <n v="15"/>
    <n v="295000"/>
    <x v="12"/>
    <s v="Transfer"/>
    <s v="Ebele Okoro"/>
    <x v="2"/>
  </r>
  <r>
    <s v="SAL015"/>
    <s v="P044"/>
    <x v="4"/>
    <x v="14"/>
    <x v="14"/>
    <x v="12"/>
    <n v="14"/>
    <n v="58000"/>
    <x v="13"/>
    <s v="POS"/>
    <s v="Fatima Abdullahi"/>
    <x v="4"/>
  </r>
  <r>
    <s v="SAL016"/>
    <s v="P054"/>
    <x v="2"/>
    <x v="15"/>
    <x v="15"/>
    <x v="13"/>
    <n v="5"/>
    <n v="55000"/>
    <x v="14"/>
    <s v="Cash"/>
    <s v="Amara Nwosu"/>
    <x v="2"/>
  </r>
  <r>
    <s v="SAL017"/>
    <s v="P029"/>
    <x v="3"/>
    <x v="16"/>
    <x v="16"/>
    <x v="5"/>
    <n v="1"/>
    <n v="72000"/>
    <x v="1"/>
    <s v="Transfer"/>
    <s v="Amara Nwosu"/>
    <x v="5"/>
  </r>
  <r>
    <s v="SAL018"/>
    <s v="P044"/>
    <x v="4"/>
    <x v="17"/>
    <x v="17"/>
    <x v="14"/>
    <n v="13"/>
    <n v="58000"/>
    <x v="15"/>
    <s v="POS"/>
    <s v="Segun Ajayi"/>
    <x v="3"/>
  </r>
  <r>
    <s v="SAL019"/>
    <s v="P058"/>
    <x v="6"/>
    <x v="18"/>
    <x v="18"/>
    <x v="15"/>
    <n v="15"/>
    <n v="46000"/>
    <x v="16"/>
    <s v="Transfer"/>
    <s v="Ebele Okoro"/>
    <x v="3"/>
  </r>
  <r>
    <s v="SAL020"/>
    <s v="P062"/>
    <x v="0"/>
    <x v="19"/>
    <x v="8"/>
    <x v="16"/>
    <n v="9"/>
    <n v="16500"/>
    <x v="17"/>
    <s v="Cash"/>
    <s v="Amara Nwosu"/>
    <x v="5"/>
  </r>
  <r>
    <s v="SAL021"/>
    <s v="P051"/>
    <x v="7"/>
    <x v="20"/>
    <x v="19"/>
    <x v="17"/>
    <n v="11"/>
    <n v="30000"/>
    <x v="18"/>
    <s v="Cash"/>
    <s v="Ebele Okoro"/>
    <x v="0"/>
  </r>
  <r>
    <s v="SAL022"/>
    <s v="P029"/>
    <x v="3"/>
    <x v="21"/>
    <x v="20"/>
    <x v="18"/>
    <n v="16"/>
    <n v="72000"/>
    <x v="19"/>
    <s v="POS"/>
    <s v="Segun Ajayi"/>
    <x v="3"/>
  </r>
  <r>
    <s v="SAL023"/>
    <s v="P100"/>
    <x v="0"/>
    <x v="22"/>
    <x v="21"/>
    <x v="19"/>
    <n v="18"/>
    <n v="180000"/>
    <x v="20"/>
    <s v="POS"/>
    <s v="Sadiq Bello"/>
    <x v="2"/>
  </r>
  <r>
    <s v="SAL024"/>
    <s v="P044"/>
    <x v="4"/>
    <x v="14"/>
    <x v="14"/>
    <x v="19"/>
    <n v="13"/>
    <n v="58000"/>
    <x v="15"/>
    <s v="Transfer"/>
    <s v="Amara Nwosu"/>
    <x v="4"/>
  </r>
  <r>
    <s v="SAL025"/>
    <s v="P096"/>
    <x v="5"/>
    <x v="23"/>
    <x v="22"/>
    <x v="20"/>
    <n v="11"/>
    <n v="250000"/>
    <x v="21"/>
    <s v="POS"/>
    <s v="Amara Nwosu"/>
    <x v="4"/>
  </r>
  <r>
    <s v="SAL026"/>
    <s v="P075"/>
    <x v="3"/>
    <x v="24"/>
    <x v="23"/>
    <x v="21"/>
    <n v="18"/>
    <n v="185000"/>
    <x v="22"/>
    <s v="Cash"/>
    <s v="Ebele Okoro"/>
    <x v="0"/>
  </r>
  <r>
    <s v="SAL027"/>
    <s v="P040"/>
    <x v="6"/>
    <x v="25"/>
    <x v="20"/>
    <x v="22"/>
    <n v="2"/>
    <n v="95000"/>
    <x v="23"/>
    <s v="Transfer"/>
    <s v="Amara Nwosu"/>
    <x v="4"/>
  </r>
  <r>
    <s v="SAL028"/>
    <s v="P078"/>
    <x v="8"/>
    <x v="26"/>
    <x v="24"/>
    <x v="22"/>
    <n v="4"/>
    <n v="85000"/>
    <x v="24"/>
    <s v="POS"/>
    <s v="Olufemi Adewale"/>
    <x v="1"/>
  </r>
  <r>
    <s v="SAL029"/>
    <s v="P025"/>
    <x v="4"/>
    <x v="27"/>
    <x v="25"/>
    <x v="23"/>
    <n v="10"/>
    <n v="690000"/>
    <x v="25"/>
    <s v="Transfer"/>
    <s v="Olufemi Adewale"/>
    <x v="1"/>
  </r>
  <r>
    <s v="SAL030"/>
    <s v="P022"/>
    <x v="0"/>
    <x v="28"/>
    <x v="26"/>
    <x v="24"/>
    <n v="15"/>
    <n v="48000"/>
    <x v="26"/>
    <s v="Cash"/>
    <s v="Fatima Abdullahi"/>
    <x v="1"/>
  </r>
  <r>
    <s v="SAL031"/>
    <s v="P052"/>
    <x v="4"/>
    <x v="2"/>
    <x v="2"/>
    <x v="14"/>
    <n v="20"/>
    <n v="185000"/>
    <x v="27"/>
    <s v="POS"/>
    <s v="Ebele Okoro"/>
    <x v="5"/>
  </r>
  <r>
    <s v="SAL032"/>
    <s v="P055"/>
    <x v="3"/>
    <x v="29"/>
    <x v="27"/>
    <x v="25"/>
    <n v="10"/>
    <n v="410000"/>
    <x v="28"/>
    <s v="Cash"/>
    <s v="Sadiq Bello"/>
    <x v="0"/>
  </r>
  <r>
    <s v="SAL033"/>
    <s v="P014"/>
    <x v="1"/>
    <x v="14"/>
    <x v="14"/>
    <x v="26"/>
    <n v="2"/>
    <n v="195000"/>
    <x v="29"/>
    <s v="Transfer"/>
    <s v="Amara Nwosu"/>
    <x v="3"/>
  </r>
  <r>
    <s v="SAL034"/>
    <s v="P079"/>
    <x v="8"/>
    <x v="28"/>
    <x v="26"/>
    <x v="25"/>
    <n v="13"/>
    <n v="68000"/>
    <x v="30"/>
    <s v="Transfer"/>
    <s v="Amara Nwosu"/>
    <x v="4"/>
  </r>
  <r>
    <s v="SAL035"/>
    <s v="P026"/>
    <x v="0"/>
    <x v="30"/>
    <x v="28"/>
    <x v="27"/>
    <n v="14"/>
    <n v="145000"/>
    <x v="31"/>
    <s v="POS"/>
    <s v="Segun Ajayi"/>
    <x v="2"/>
  </r>
  <r>
    <s v="SAL036"/>
    <s v="P074"/>
    <x v="0"/>
    <x v="31"/>
    <x v="29"/>
    <x v="28"/>
    <n v="3"/>
    <n v="130000"/>
    <x v="29"/>
    <s v="Cash"/>
    <s v="Ebele Okoro"/>
    <x v="2"/>
  </r>
  <r>
    <s v="SAL037"/>
    <s v="P096"/>
    <x v="5"/>
    <x v="32"/>
    <x v="30"/>
    <x v="29"/>
    <n v="20"/>
    <n v="250000"/>
    <x v="32"/>
    <s v="POS"/>
    <s v="Amara Nwosu"/>
    <x v="5"/>
  </r>
  <r>
    <s v="SAL038"/>
    <s v="P093"/>
    <x v="3"/>
    <x v="11"/>
    <x v="11"/>
    <x v="30"/>
    <n v="4"/>
    <n v="130000"/>
    <x v="33"/>
    <s v="Cash"/>
    <s v="Sadiq Bello"/>
    <x v="5"/>
  </r>
  <r>
    <s v="SAL039"/>
    <s v="P018"/>
    <x v="3"/>
    <x v="33"/>
    <x v="31"/>
    <x v="31"/>
    <n v="11"/>
    <n v="95000"/>
    <x v="34"/>
    <s v="Transfer"/>
    <s v="Segun Ajayi"/>
    <x v="4"/>
  </r>
  <r>
    <s v="SAL040"/>
    <s v="P001"/>
    <x v="1"/>
    <x v="34"/>
    <x v="32"/>
    <x v="27"/>
    <n v="14"/>
    <n v="165000"/>
    <x v="2"/>
    <s v="Transfer"/>
    <s v="Segun Ajayi"/>
    <x v="3"/>
  </r>
  <r>
    <s v="SAL041"/>
    <s v="P098"/>
    <x v="3"/>
    <x v="35"/>
    <x v="33"/>
    <x v="32"/>
    <n v="2"/>
    <n v="145000"/>
    <x v="35"/>
    <s v="POS"/>
    <s v="Sadiq Bello"/>
    <x v="1"/>
  </r>
  <r>
    <s v="SAL042"/>
    <s v="P003"/>
    <x v="1"/>
    <x v="36"/>
    <x v="24"/>
    <x v="33"/>
    <n v="11"/>
    <n v="135000"/>
    <x v="36"/>
    <s v="Cash"/>
    <s v="Fatima Abdullahi"/>
    <x v="0"/>
  </r>
  <r>
    <s v="SAL043"/>
    <s v="P079"/>
    <x v="8"/>
    <x v="18"/>
    <x v="18"/>
    <x v="34"/>
    <n v="2"/>
    <n v="68000"/>
    <x v="37"/>
    <s v="Transfer"/>
    <s v="Sadiq Bello"/>
    <x v="2"/>
  </r>
  <r>
    <s v="SAL044"/>
    <s v="P098"/>
    <x v="3"/>
    <x v="28"/>
    <x v="26"/>
    <x v="35"/>
    <n v="9"/>
    <n v="145000"/>
    <x v="38"/>
    <s v="POS"/>
    <s v="Sadiq Bello"/>
    <x v="1"/>
  </r>
  <r>
    <s v="SAL045"/>
    <s v="P065"/>
    <x v="1"/>
    <x v="37"/>
    <x v="34"/>
    <x v="36"/>
    <n v="6"/>
    <n v="385000"/>
    <x v="2"/>
    <s v="Transfer"/>
    <s v="Fatima Abdullahi"/>
    <x v="1"/>
  </r>
  <r>
    <s v="SAL046"/>
    <s v="P032"/>
    <x v="8"/>
    <x v="38"/>
    <x v="35"/>
    <x v="37"/>
    <n v="5"/>
    <n v="295000"/>
    <x v="39"/>
    <s v="Cash"/>
    <s v="Segun Ajayi"/>
    <x v="5"/>
  </r>
  <r>
    <s v="SAL047"/>
    <s v="P048"/>
    <x v="3"/>
    <x v="11"/>
    <x v="11"/>
    <x v="31"/>
    <n v="8"/>
    <n v="295000"/>
    <x v="40"/>
    <s v="POS"/>
    <s v="Fatima Abdullahi"/>
    <x v="5"/>
  </r>
  <r>
    <s v="SAL048"/>
    <s v="P017"/>
    <x v="1"/>
    <x v="39"/>
    <x v="34"/>
    <x v="31"/>
    <n v="8"/>
    <n v="890000"/>
    <x v="41"/>
    <s v="POS"/>
    <s v="Olufemi Adewale"/>
    <x v="3"/>
  </r>
  <r>
    <s v="SAL049"/>
    <s v="P094"/>
    <x v="0"/>
    <x v="40"/>
    <x v="36"/>
    <x v="38"/>
    <n v="11"/>
    <n v="68000"/>
    <x v="42"/>
    <s v="POS"/>
    <s v="Fatima Abdullahi"/>
    <x v="5"/>
  </r>
  <r>
    <s v="SAL050"/>
    <s v="P061"/>
    <x v="0"/>
    <x v="41"/>
    <x v="37"/>
    <x v="39"/>
    <n v="18"/>
    <n v="29500"/>
    <x v="43"/>
    <s v="Cash"/>
    <s v="Olufemi Adewale"/>
    <x v="4"/>
  </r>
  <r>
    <s v="SAL051"/>
    <s v="P084"/>
    <x v="6"/>
    <x v="42"/>
    <x v="38"/>
    <x v="40"/>
    <n v="1"/>
    <n v="46000"/>
    <x v="44"/>
    <s v="Cash"/>
    <s v="Amara Nwosu"/>
    <x v="2"/>
  </r>
  <r>
    <s v="SAL052"/>
    <s v="P025"/>
    <x v="4"/>
    <x v="43"/>
    <x v="39"/>
    <x v="41"/>
    <n v="10"/>
    <n v="690000"/>
    <x v="25"/>
    <s v="Transfer"/>
    <s v="Sadiq Bello"/>
    <x v="3"/>
  </r>
  <r>
    <s v="SAL053"/>
    <s v="P047"/>
    <x v="0"/>
    <x v="42"/>
    <x v="38"/>
    <x v="42"/>
    <n v="3"/>
    <n v="230000"/>
    <x v="16"/>
    <s v="POS"/>
    <s v="Fatima Abdullahi"/>
    <x v="0"/>
  </r>
  <r>
    <s v="SAL054"/>
    <s v="P017"/>
    <x v="1"/>
    <x v="8"/>
    <x v="8"/>
    <x v="43"/>
    <n v="4"/>
    <n v="890000"/>
    <x v="45"/>
    <s v="Cash"/>
    <s v="Sadiq Bello"/>
    <x v="1"/>
  </r>
  <r>
    <s v="SAL055"/>
    <s v="P072"/>
    <x v="0"/>
    <x v="0"/>
    <x v="0"/>
    <x v="44"/>
    <n v="7"/>
    <n v="85000"/>
    <x v="46"/>
    <s v="Transfer"/>
    <s v="Ebele Okoro"/>
    <x v="1"/>
  </r>
  <r>
    <s v="SAL056"/>
    <s v="P023"/>
    <x v="3"/>
    <x v="24"/>
    <x v="23"/>
    <x v="45"/>
    <n v="16"/>
    <n v="480000"/>
    <x v="47"/>
    <s v="Transfer"/>
    <s v="Fatima Abdullahi"/>
    <x v="5"/>
  </r>
  <r>
    <s v="SAL057"/>
    <s v="P025"/>
    <x v="4"/>
    <x v="44"/>
    <x v="40"/>
    <x v="46"/>
    <n v="4"/>
    <n v="690000"/>
    <x v="48"/>
    <s v="Transfer"/>
    <s v="Olufemi Adewale"/>
    <x v="1"/>
  </r>
  <r>
    <s v="SAL058"/>
    <s v="P005"/>
    <x v="3"/>
    <x v="45"/>
    <x v="41"/>
    <x v="47"/>
    <n v="11"/>
    <n v="680000"/>
    <x v="49"/>
    <s v="POS"/>
    <s v="Olufemi Adewale"/>
    <x v="4"/>
  </r>
  <r>
    <s v="SAL059"/>
    <s v="P048"/>
    <x v="3"/>
    <x v="46"/>
    <x v="42"/>
    <x v="48"/>
    <n v="5"/>
    <n v="295000"/>
    <x v="39"/>
    <s v="Transfer"/>
    <s v="Ebele Okoro"/>
    <x v="3"/>
  </r>
  <r>
    <s v="SAL060"/>
    <s v="P059"/>
    <x v="6"/>
    <x v="35"/>
    <x v="33"/>
    <x v="49"/>
    <n v="9"/>
    <n v="78000"/>
    <x v="50"/>
    <s v="Cash"/>
    <s v="Sadiq Bello"/>
    <x v="4"/>
  </r>
  <r>
    <s v="SAL061"/>
    <s v="P034"/>
    <x v="2"/>
    <x v="47"/>
    <x v="43"/>
    <x v="50"/>
    <n v="12"/>
    <n v="20000"/>
    <x v="51"/>
    <s v="POS"/>
    <s v="Sadiq Bello"/>
    <x v="1"/>
  </r>
  <r>
    <s v="SAL062"/>
    <s v="P049"/>
    <x v="4"/>
    <x v="48"/>
    <x v="44"/>
    <x v="46"/>
    <n v="6"/>
    <n v="465000"/>
    <x v="52"/>
    <s v="Transfer"/>
    <s v="Segun Ajayi"/>
    <x v="2"/>
  </r>
  <r>
    <s v="SAL063"/>
    <s v="P094"/>
    <x v="0"/>
    <x v="49"/>
    <x v="45"/>
    <x v="41"/>
    <n v="1"/>
    <n v="68000"/>
    <x v="53"/>
    <s v="Cash"/>
    <s v="Olufemi Adewale"/>
    <x v="3"/>
  </r>
  <r>
    <s v="SAL064"/>
    <s v="P050"/>
    <x v="7"/>
    <x v="50"/>
    <x v="46"/>
    <x v="51"/>
    <n v="7"/>
    <n v="145000"/>
    <x v="54"/>
    <s v="POS"/>
    <s v="Sadiq Bello"/>
    <x v="4"/>
  </r>
  <r>
    <s v="SAL065"/>
    <s v="P096"/>
    <x v="5"/>
    <x v="22"/>
    <x v="21"/>
    <x v="52"/>
    <n v="8"/>
    <n v="250000"/>
    <x v="55"/>
    <s v="POS"/>
    <s v="Ebele Okoro"/>
    <x v="4"/>
  </r>
  <r>
    <s v="SAL066"/>
    <s v="P075"/>
    <x v="3"/>
    <x v="51"/>
    <x v="47"/>
    <x v="53"/>
    <n v="2"/>
    <n v="185000"/>
    <x v="56"/>
    <s v="Cash"/>
    <s v="Fatima Abdullahi"/>
    <x v="0"/>
  </r>
  <r>
    <s v="SAL067"/>
    <s v="P075"/>
    <x v="3"/>
    <x v="52"/>
    <x v="48"/>
    <x v="41"/>
    <n v="14"/>
    <n v="185000"/>
    <x v="57"/>
    <s v="POS"/>
    <s v="Ebele Okoro"/>
    <x v="5"/>
  </r>
  <r>
    <s v="SAL068"/>
    <s v="P105"/>
    <x v="0"/>
    <x v="53"/>
    <x v="49"/>
    <x v="54"/>
    <n v="16"/>
    <n v="38000"/>
    <x v="58"/>
    <s v="Transfer"/>
    <s v="Fatima Abdullahi"/>
    <x v="5"/>
  </r>
  <r>
    <s v="SAL069"/>
    <s v="P055"/>
    <x v="3"/>
    <x v="54"/>
    <x v="50"/>
    <x v="55"/>
    <n v="10"/>
    <n v="410000"/>
    <x v="28"/>
    <s v="POS"/>
    <s v="Ebele Okoro"/>
    <x v="4"/>
  </r>
  <r>
    <s v="SAL070"/>
    <s v="P039"/>
    <x v="6"/>
    <x v="55"/>
    <x v="48"/>
    <x v="56"/>
    <n v="12"/>
    <n v="380000"/>
    <x v="59"/>
    <s v="POS"/>
    <s v="Amara Nwosu"/>
    <x v="3"/>
  </r>
  <r>
    <s v="SAL071"/>
    <s v="P076"/>
    <x v="4"/>
    <x v="56"/>
    <x v="51"/>
    <x v="57"/>
    <n v="18"/>
    <n v="65000"/>
    <x v="60"/>
    <s v="POS"/>
    <s v="Fatima Abdullahi"/>
    <x v="0"/>
  </r>
  <r>
    <s v="SAL072"/>
    <s v="P001"/>
    <x v="1"/>
    <x v="57"/>
    <x v="52"/>
    <x v="58"/>
    <n v="12"/>
    <n v="165000"/>
    <x v="61"/>
    <s v="Transfer"/>
    <s v="Amara Nwosu"/>
    <x v="3"/>
  </r>
  <r>
    <s v="SAL073"/>
    <s v="P065"/>
    <x v="1"/>
    <x v="58"/>
    <x v="53"/>
    <x v="59"/>
    <n v="6"/>
    <n v="385000"/>
    <x v="2"/>
    <s v="Cash"/>
    <s v="Fatima Abdullahi"/>
    <x v="3"/>
  </r>
  <r>
    <s v="SAL074"/>
    <s v="P091"/>
    <x v="6"/>
    <x v="59"/>
    <x v="54"/>
    <x v="60"/>
    <n v="10"/>
    <n v="105000"/>
    <x v="62"/>
    <s v="Cash"/>
    <s v="Sadiq Bello"/>
    <x v="4"/>
  </r>
  <r>
    <s v="SAL075"/>
    <s v="P008"/>
    <x v="0"/>
    <x v="23"/>
    <x v="22"/>
    <x v="61"/>
    <n v="10"/>
    <n v="24000"/>
    <x v="51"/>
    <s v="Transfer"/>
    <s v="Amara Nwosu"/>
    <x v="1"/>
  </r>
  <r>
    <s v="SAL076"/>
    <s v="P085"/>
    <x v="4"/>
    <x v="45"/>
    <x v="41"/>
    <x v="56"/>
    <n v="16"/>
    <n v="62000"/>
    <x v="63"/>
    <s v="Transfer"/>
    <s v="Amara Nwosu"/>
    <x v="3"/>
  </r>
  <r>
    <s v="SAL077"/>
    <s v="P099"/>
    <x v="0"/>
    <x v="60"/>
    <x v="55"/>
    <x v="62"/>
    <n v="11"/>
    <n v="70000"/>
    <x v="64"/>
    <s v="POS"/>
    <s v="Segun Ajayi"/>
    <x v="4"/>
  </r>
  <r>
    <s v="SAL078"/>
    <s v="P014"/>
    <x v="1"/>
    <x v="61"/>
    <x v="56"/>
    <x v="63"/>
    <n v="5"/>
    <n v="195000"/>
    <x v="65"/>
    <s v="Cash"/>
    <s v="Segun Ajayi"/>
    <x v="5"/>
  </r>
  <r>
    <s v="SAL079"/>
    <s v="P094"/>
    <x v="0"/>
    <x v="62"/>
    <x v="57"/>
    <x v="64"/>
    <n v="10"/>
    <n v="68000"/>
    <x v="66"/>
    <s v="POS"/>
    <s v="Sadiq Bello"/>
    <x v="1"/>
  </r>
  <r>
    <s v="SAL080"/>
    <s v="P092"/>
    <x v="0"/>
    <x v="63"/>
    <x v="58"/>
    <x v="65"/>
    <n v="16"/>
    <n v="165000"/>
    <x v="67"/>
    <s v="Cash"/>
    <s v="Sadiq Bello"/>
    <x v="2"/>
  </r>
  <r>
    <s v="SAL081"/>
    <s v="P070"/>
    <x v="9"/>
    <x v="64"/>
    <x v="59"/>
    <x v="66"/>
    <n v="15"/>
    <n v="205000"/>
    <x v="68"/>
    <s v="Transfer"/>
    <s v="Segun Ajayi"/>
    <x v="0"/>
  </r>
  <r>
    <s v="SAL082"/>
    <s v="P096"/>
    <x v="5"/>
    <x v="65"/>
    <x v="60"/>
    <x v="67"/>
    <n v="1"/>
    <n v="250000"/>
    <x v="69"/>
    <s v="Transfer"/>
    <s v="Fatima Abdullahi"/>
    <x v="3"/>
  </r>
  <r>
    <s v="SAL083"/>
    <s v="P053"/>
    <x v="2"/>
    <x v="66"/>
    <x v="61"/>
    <x v="68"/>
    <n v="17"/>
    <n v="36000"/>
    <x v="70"/>
    <s v="Cash"/>
    <s v="Segun Ajayi"/>
    <x v="4"/>
  </r>
  <r>
    <s v="SAL084"/>
    <s v="P033"/>
    <x v="7"/>
    <x v="67"/>
    <x v="62"/>
    <x v="59"/>
    <n v="7"/>
    <n v="125000"/>
    <x v="71"/>
    <s v="Cash"/>
    <s v="Sadiq Bello"/>
    <x v="0"/>
  </r>
  <r>
    <s v="SAL085"/>
    <s v="P040"/>
    <x v="6"/>
    <x v="68"/>
    <x v="23"/>
    <x v="56"/>
    <n v="1"/>
    <n v="95000"/>
    <x v="72"/>
    <s v="POS"/>
    <s v="Amara Nwosu"/>
    <x v="4"/>
  </r>
  <r>
    <s v="SAL086"/>
    <s v="P099"/>
    <x v="0"/>
    <x v="69"/>
    <x v="25"/>
    <x v="69"/>
    <n v="6"/>
    <n v="70000"/>
    <x v="73"/>
    <s v="Transfer"/>
    <s v="Fatima Abdullahi"/>
    <x v="0"/>
  </r>
  <r>
    <s v="SAL087"/>
    <s v="P064"/>
    <x v="4"/>
    <x v="70"/>
    <x v="42"/>
    <x v="70"/>
    <n v="19"/>
    <n v="295000"/>
    <x v="74"/>
    <s v="Transfer"/>
    <s v="Olufemi Adewale"/>
    <x v="3"/>
  </r>
  <r>
    <s v="SAL088"/>
    <s v="P103"/>
    <x v="0"/>
    <x v="71"/>
    <x v="63"/>
    <x v="71"/>
    <n v="19"/>
    <n v="19000"/>
    <x v="75"/>
    <s v="Cash"/>
    <s v="Fatima Abdullahi"/>
    <x v="5"/>
  </r>
  <r>
    <s v="SAL089"/>
    <s v="P090"/>
    <x v="8"/>
    <x v="72"/>
    <x v="32"/>
    <x v="72"/>
    <n v="15"/>
    <n v="450000"/>
    <x v="76"/>
    <s v="POS"/>
    <s v="Fatima Abdullahi"/>
    <x v="5"/>
  </r>
  <r>
    <s v="SAL090"/>
    <s v="P002"/>
    <x v="1"/>
    <x v="73"/>
    <x v="64"/>
    <x v="73"/>
    <n v="5"/>
    <n v="245000"/>
    <x v="77"/>
    <s v="Transfer"/>
    <s v="Segun Ajayi"/>
    <x v="1"/>
  </r>
  <r>
    <s v="SAL091"/>
    <s v="P036"/>
    <x v="2"/>
    <x v="74"/>
    <x v="65"/>
    <x v="74"/>
    <n v="15"/>
    <n v="12000"/>
    <x v="78"/>
    <s v="Transfer"/>
    <s v="Sadiq Bello"/>
    <x v="4"/>
  </r>
  <r>
    <s v="SAL092"/>
    <s v="P028"/>
    <x v="0"/>
    <x v="75"/>
    <x v="66"/>
    <x v="75"/>
    <n v="15"/>
    <n v="82000"/>
    <x v="79"/>
    <s v="Cash"/>
    <s v="Amara Nwosu"/>
    <x v="4"/>
  </r>
  <r>
    <s v="SAL093"/>
    <s v="P036"/>
    <x v="2"/>
    <x v="76"/>
    <x v="67"/>
    <x v="73"/>
    <n v="13"/>
    <n v="12000"/>
    <x v="80"/>
    <s v="Transfer"/>
    <s v="Amara Nwosu"/>
    <x v="5"/>
  </r>
  <r>
    <s v="SAL094"/>
    <s v="P096"/>
    <x v="5"/>
    <x v="48"/>
    <x v="44"/>
    <x v="76"/>
    <n v="13"/>
    <n v="250000"/>
    <x v="81"/>
    <s v="Transfer"/>
    <s v="Amara Nwosu"/>
    <x v="0"/>
  </r>
  <r>
    <s v="SAL095"/>
    <s v="P007"/>
    <x v="0"/>
    <x v="77"/>
    <x v="68"/>
    <x v="76"/>
    <n v="17"/>
    <n v="28000"/>
    <x v="82"/>
    <s v="Transfer"/>
    <s v="Sadiq Bello"/>
    <x v="4"/>
  </r>
  <r>
    <s v="SAL096"/>
    <s v="P041"/>
    <x v="1"/>
    <x v="47"/>
    <x v="43"/>
    <x v="77"/>
    <n v="11"/>
    <n v="215000"/>
    <x v="83"/>
    <s v="Cash"/>
    <s v="Ebele Okoro"/>
    <x v="2"/>
  </r>
  <r>
    <s v="SAL097"/>
    <s v="P003"/>
    <x v="1"/>
    <x v="78"/>
    <x v="69"/>
    <x v="78"/>
    <n v="2"/>
    <n v="135000"/>
    <x v="84"/>
    <s v="POS"/>
    <s v="Olufemi Adewale"/>
    <x v="1"/>
  </r>
  <r>
    <s v="SAL098"/>
    <s v="P027"/>
    <x v="0"/>
    <x v="17"/>
    <x v="17"/>
    <x v="78"/>
    <n v="3"/>
    <n v="175000"/>
    <x v="85"/>
    <s v="POS"/>
    <s v="Segun Ajayi"/>
    <x v="1"/>
  </r>
  <r>
    <s v="SAL099"/>
    <s v="P031"/>
    <x v="8"/>
    <x v="79"/>
    <x v="70"/>
    <x v="79"/>
    <n v="1"/>
    <n v="255000"/>
    <x v="86"/>
    <s v="Transfer"/>
    <s v="Ebele Okoro"/>
    <x v="5"/>
  </r>
  <r>
    <s v="SAL100"/>
    <s v="P098"/>
    <x v="3"/>
    <x v="80"/>
    <x v="53"/>
    <x v="80"/>
    <n v="13"/>
    <n v="145000"/>
    <x v="87"/>
    <s v="POS"/>
    <s v="Sadiq Bello"/>
    <x v="5"/>
  </r>
  <r>
    <s v="SAL101"/>
    <s v="P031"/>
    <x v="8"/>
    <x v="34"/>
    <x v="32"/>
    <x v="81"/>
    <n v="1"/>
    <n v="255000"/>
    <x v="86"/>
    <s v="Cash"/>
    <s v="Ebele Okoro"/>
    <x v="3"/>
  </r>
  <r>
    <s v="SAL102"/>
    <s v="P090"/>
    <x v="8"/>
    <x v="81"/>
    <x v="71"/>
    <x v="82"/>
    <n v="15"/>
    <n v="450000"/>
    <x v="76"/>
    <s v="Transfer"/>
    <s v="Olufemi Adewale"/>
    <x v="3"/>
  </r>
  <r>
    <s v="SAL103"/>
    <s v="P041"/>
    <x v="1"/>
    <x v="22"/>
    <x v="21"/>
    <x v="83"/>
    <n v="15"/>
    <n v="215000"/>
    <x v="88"/>
    <s v="Transfer"/>
    <s v="Amara Nwosu"/>
    <x v="5"/>
  </r>
  <r>
    <s v="SAL104"/>
    <s v="P087"/>
    <x v="1"/>
    <x v="82"/>
    <x v="72"/>
    <x v="84"/>
    <n v="12"/>
    <n v="145000"/>
    <x v="89"/>
    <s v="Transfer"/>
    <s v="Olufemi Adewale"/>
    <x v="5"/>
  </r>
  <r>
    <s v="SAL105"/>
    <s v="P072"/>
    <x v="0"/>
    <x v="83"/>
    <x v="43"/>
    <x v="83"/>
    <n v="4"/>
    <n v="85000"/>
    <x v="24"/>
    <s v="POS"/>
    <s v="Segun Ajayi"/>
    <x v="0"/>
  </r>
  <r>
    <s v="SAL106"/>
    <s v="P044"/>
    <x v="4"/>
    <x v="82"/>
    <x v="72"/>
    <x v="84"/>
    <n v="19"/>
    <n v="58000"/>
    <x v="90"/>
    <s v="Transfer"/>
    <s v="Sadiq Bello"/>
    <x v="5"/>
  </r>
  <r>
    <s v="SAL107"/>
    <s v="P078"/>
    <x v="8"/>
    <x v="84"/>
    <x v="9"/>
    <x v="85"/>
    <n v="17"/>
    <n v="85000"/>
    <x v="91"/>
    <s v="Cash"/>
    <s v="Fatima Abdullahi"/>
    <x v="4"/>
  </r>
  <r>
    <s v="SAL108"/>
    <s v="P012"/>
    <x v="0"/>
    <x v="73"/>
    <x v="64"/>
    <x v="86"/>
    <n v="9"/>
    <n v="65000"/>
    <x v="92"/>
    <s v="Transfer"/>
    <s v="Olufemi Adewale"/>
    <x v="0"/>
  </r>
  <r>
    <s v="SAL109"/>
    <s v="P021"/>
    <x v="0"/>
    <x v="33"/>
    <x v="31"/>
    <x v="84"/>
    <n v="4"/>
    <n v="42000"/>
    <x v="93"/>
    <s v="Transfer"/>
    <s v="Segun Ajayi"/>
    <x v="2"/>
  </r>
  <r>
    <s v="SAL110"/>
    <s v="P100"/>
    <x v="0"/>
    <x v="85"/>
    <x v="73"/>
    <x v="87"/>
    <n v="12"/>
    <n v="180000"/>
    <x v="94"/>
    <s v="Transfer"/>
    <s v="Fatima Abdullahi"/>
    <x v="2"/>
  </r>
  <r>
    <s v="SAL111"/>
    <s v="P075"/>
    <x v="3"/>
    <x v="86"/>
    <x v="74"/>
    <x v="88"/>
    <n v="11"/>
    <n v="185000"/>
    <x v="95"/>
    <s v="POS"/>
    <s v="Segun Ajayi"/>
    <x v="3"/>
  </r>
  <r>
    <s v="SAL112"/>
    <s v="P099"/>
    <x v="0"/>
    <x v="87"/>
    <x v="75"/>
    <x v="89"/>
    <n v="6"/>
    <n v="70000"/>
    <x v="73"/>
    <s v="Cash"/>
    <s v="Fatima Abdullahi"/>
    <x v="3"/>
  </r>
  <r>
    <s v="SAL113"/>
    <s v="P012"/>
    <x v="0"/>
    <x v="70"/>
    <x v="42"/>
    <x v="90"/>
    <n v="19"/>
    <n v="65000"/>
    <x v="96"/>
    <s v="POS"/>
    <s v="Amara Nwosu"/>
    <x v="1"/>
  </r>
  <r>
    <s v="SAL114"/>
    <s v="P017"/>
    <x v="1"/>
    <x v="62"/>
    <x v="57"/>
    <x v="88"/>
    <n v="1"/>
    <n v="890000"/>
    <x v="97"/>
    <s v="POS"/>
    <s v="Ebele Okoro"/>
    <x v="4"/>
  </r>
  <r>
    <s v="SAL115"/>
    <s v="P055"/>
    <x v="3"/>
    <x v="88"/>
    <x v="76"/>
    <x v="91"/>
    <n v="8"/>
    <n v="410000"/>
    <x v="10"/>
    <s v="POS"/>
    <s v="Olufemi Adewale"/>
    <x v="2"/>
  </r>
  <r>
    <s v="SAL116"/>
    <s v="P102"/>
    <x v="8"/>
    <x v="18"/>
    <x v="18"/>
    <x v="92"/>
    <n v="3"/>
    <n v="27000"/>
    <x v="98"/>
    <s v="Transfer"/>
    <s v="Olufemi Adewale"/>
    <x v="4"/>
  </r>
  <r>
    <s v="SAL117"/>
    <s v="P028"/>
    <x v="0"/>
    <x v="89"/>
    <x v="77"/>
    <x v="93"/>
    <n v="1"/>
    <n v="82000"/>
    <x v="99"/>
    <s v="Cash"/>
    <s v="Fatima Abdullahi"/>
    <x v="1"/>
  </r>
  <r>
    <s v="SAL118"/>
    <s v="P080"/>
    <x v="6"/>
    <x v="90"/>
    <x v="78"/>
    <x v="94"/>
    <n v="7"/>
    <n v="56000"/>
    <x v="100"/>
    <s v="POS"/>
    <s v="Ebele Okoro"/>
    <x v="4"/>
  </r>
  <r>
    <s v="SAL119"/>
    <s v="P022"/>
    <x v="0"/>
    <x v="36"/>
    <x v="24"/>
    <x v="95"/>
    <n v="18"/>
    <n v="48000"/>
    <x v="101"/>
    <s v="Cash"/>
    <s v="Ebele Okoro"/>
    <x v="4"/>
  </r>
  <r>
    <s v="SAL120"/>
    <s v="P058"/>
    <x v="6"/>
    <x v="91"/>
    <x v="2"/>
    <x v="96"/>
    <n v="2"/>
    <n v="46000"/>
    <x v="102"/>
    <s v="POS"/>
    <s v="Segun Ajayi"/>
    <x v="5"/>
  </r>
  <r>
    <s v="SAL121"/>
    <s v="P057"/>
    <x v="0"/>
    <x v="92"/>
    <x v="79"/>
    <x v="97"/>
    <n v="16"/>
    <n v="105000"/>
    <x v="103"/>
    <s v="Transfer"/>
    <s v="Segun Ajayi"/>
    <x v="4"/>
  </r>
  <r>
    <s v="SAL122"/>
    <s v="P059"/>
    <x v="6"/>
    <x v="82"/>
    <x v="72"/>
    <x v="98"/>
    <n v="13"/>
    <n v="78000"/>
    <x v="104"/>
    <s v="Transfer"/>
    <s v="Fatima Abdullahi"/>
    <x v="1"/>
  </r>
  <r>
    <s v="SAL123"/>
    <s v="P070"/>
    <x v="9"/>
    <x v="93"/>
    <x v="80"/>
    <x v="99"/>
    <n v="1"/>
    <n v="205000"/>
    <x v="105"/>
    <s v="POS"/>
    <s v="Segun Ajayi"/>
    <x v="0"/>
  </r>
  <r>
    <s v="SAL124"/>
    <s v="P025"/>
    <x v="4"/>
    <x v="62"/>
    <x v="57"/>
    <x v="100"/>
    <n v="17"/>
    <n v="690000"/>
    <x v="106"/>
    <s v="Transfer"/>
    <s v="Segun Ajayi"/>
    <x v="0"/>
  </r>
  <r>
    <s v="SAL125"/>
    <s v="P101"/>
    <x v="10"/>
    <x v="54"/>
    <x v="50"/>
    <x v="101"/>
    <n v="18"/>
    <n v="15000"/>
    <x v="84"/>
    <s v="Cash"/>
    <s v="Fatima Abdullahi"/>
    <x v="5"/>
  </r>
  <r>
    <s v="SAL126"/>
    <s v="P048"/>
    <x v="3"/>
    <x v="94"/>
    <x v="45"/>
    <x v="102"/>
    <n v="6"/>
    <n v="295000"/>
    <x v="107"/>
    <s v="POS"/>
    <s v="Segun Ajayi"/>
    <x v="1"/>
  </r>
  <r>
    <s v="SAL127"/>
    <s v="P103"/>
    <x v="0"/>
    <x v="50"/>
    <x v="46"/>
    <x v="103"/>
    <n v="2"/>
    <n v="19000"/>
    <x v="108"/>
    <s v="Cash"/>
    <s v="Amara Nwosu"/>
    <x v="5"/>
  </r>
  <r>
    <s v="SAL128"/>
    <s v="P028"/>
    <x v="0"/>
    <x v="28"/>
    <x v="26"/>
    <x v="102"/>
    <n v="18"/>
    <n v="82000"/>
    <x v="109"/>
    <s v="POS"/>
    <s v="Segun Ajayi"/>
    <x v="2"/>
  </r>
  <r>
    <s v="SAL129"/>
    <s v="P056"/>
    <x v="3"/>
    <x v="34"/>
    <x v="32"/>
    <x v="104"/>
    <n v="12"/>
    <n v="560000"/>
    <x v="110"/>
    <s v="Cash"/>
    <s v="Amara Nwosu"/>
    <x v="0"/>
  </r>
  <r>
    <s v="SAL130"/>
    <s v="P100"/>
    <x v="0"/>
    <x v="95"/>
    <x v="81"/>
    <x v="105"/>
    <n v="18"/>
    <n v="180000"/>
    <x v="20"/>
    <s v="POS"/>
    <s v="Olufemi Adewale"/>
    <x v="4"/>
  </r>
  <r>
    <s v="SAL131"/>
    <s v="P083"/>
    <x v="0"/>
    <x v="14"/>
    <x v="14"/>
    <x v="106"/>
    <n v="1"/>
    <n v="15000"/>
    <x v="111"/>
    <s v="Transfer"/>
    <s v="Segun Ajayi"/>
    <x v="4"/>
  </r>
  <r>
    <s v="SAL132"/>
    <s v="P089"/>
    <x v="0"/>
    <x v="96"/>
    <x v="82"/>
    <x v="107"/>
    <n v="17"/>
    <n v="295000"/>
    <x v="112"/>
    <s v="POS"/>
    <s v="Segun Ajayi"/>
    <x v="3"/>
  </r>
  <r>
    <s v="SAL133"/>
    <s v="P032"/>
    <x v="8"/>
    <x v="97"/>
    <x v="7"/>
    <x v="108"/>
    <n v="17"/>
    <n v="295000"/>
    <x v="112"/>
    <s v="POS"/>
    <s v="Ebele Okoro"/>
    <x v="1"/>
  </r>
  <r>
    <s v="SAL134"/>
    <s v="P088"/>
    <x v="3"/>
    <x v="82"/>
    <x v="72"/>
    <x v="109"/>
    <n v="9"/>
    <n v="385000"/>
    <x v="113"/>
    <s v="Transfer"/>
    <s v="Sadiq Bello"/>
    <x v="3"/>
  </r>
  <r>
    <s v="SAL135"/>
    <s v="P002"/>
    <x v="1"/>
    <x v="98"/>
    <x v="62"/>
    <x v="99"/>
    <n v="2"/>
    <n v="245000"/>
    <x v="114"/>
    <s v="Transfer"/>
    <s v="Ebele Okoro"/>
    <x v="4"/>
  </r>
  <r>
    <s v="SAL136"/>
    <s v="P026"/>
    <x v="0"/>
    <x v="99"/>
    <x v="77"/>
    <x v="99"/>
    <n v="2"/>
    <n v="145000"/>
    <x v="35"/>
    <s v="POS"/>
    <s v="Segun Ajayi"/>
    <x v="0"/>
  </r>
  <r>
    <s v="SAL137"/>
    <s v="P061"/>
    <x v="0"/>
    <x v="47"/>
    <x v="43"/>
    <x v="110"/>
    <n v="7"/>
    <n v="29500"/>
    <x v="115"/>
    <s v="Transfer"/>
    <s v="Segun Ajayi"/>
    <x v="1"/>
  </r>
  <r>
    <s v="SAL138"/>
    <s v="P044"/>
    <x v="4"/>
    <x v="100"/>
    <x v="83"/>
    <x v="111"/>
    <n v="9"/>
    <n v="58000"/>
    <x v="116"/>
    <s v="Transfer"/>
    <s v="Segun Ajayi"/>
    <x v="3"/>
  </r>
  <r>
    <s v="SAL139"/>
    <s v="P003"/>
    <x v="1"/>
    <x v="71"/>
    <x v="63"/>
    <x v="112"/>
    <n v="20"/>
    <n v="135000"/>
    <x v="117"/>
    <s v="POS"/>
    <s v="Ebele Okoro"/>
    <x v="5"/>
  </r>
  <r>
    <s v="SAL140"/>
    <s v="P037"/>
    <x v="1"/>
    <x v="19"/>
    <x v="8"/>
    <x v="113"/>
    <n v="7"/>
    <n v="820000"/>
    <x v="118"/>
    <s v="Transfer"/>
    <s v="Sadiq Bello"/>
    <x v="5"/>
  </r>
  <r>
    <s v="SAL141"/>
    <s v="P099"/>
    <x v="0"/>
    <x v="6"/>
    <x v="6"/>
    <x v="113"/>
    <n v="11"/>
    <n v="70000"/>
    <x v="64"/>
    <s v="POS"/>
    <s v="Segun Ajayi"/>
    <x v="0"/>
  </r>
  <r>
    <s v="SAL142"/>
    <s v="P006"/>
    <x v="0"/>
    <x v="95"/>
    <x v="81"/>
    <x v="114"/>
    <n v="5"/>
    <n v="345000"/>
    <x v="119"/>
    <s v="Transfer"/>
    <s v="Olufemi Adewale"/>
    <x v="1"/>
  </r>
  <r>
    <s v="SAL143"/>
    <s v="P094"/>
    <x v="0"/>
    <x v="79"/>
    <x v="70"/>
    <x v="115"/>
    <n v="10"/>
    <n v="68000"/>
    <x v="66"/>
    <s v="POS"/>
    <s v="Ebele Okoro"/>
    <x v="1"/>
  </r>
  <r>
    <s v="SAL144"/>
    <s v="P037"/>
    <x v="1"/>
    <x v="101"/>
    <x v="28"/>
    <x v="112"/>
    <n v="14"/>
    <n v="820000"/>
    <x v="120"/>
    <s v="Transfer"/>
    <s v="Sadiq Bello"/>
    <x v="0"/>
  </r>
  <r>
    <s v="SAL145"/>
    <s v="P040"/>
    <x v="6"/>
    <x v="54"/>
    <x v="50"/>
    <x v="116"/>
    <n v="7"/>
    <n v="95000"/>
    <x v="121"/>
    <s v="Transfer"/>
    <s v="Fatima Abdullahi"/>
    <x v="4"/>
  </r>
  <r>
    <s v="SAL146"/>
    <s v="P008"/>
    <x v="0"/>
    <x v="94"/>
    <x v="45"/>
    <x v="117"/>
    <n v="8"/>
    <n v="24000"/>
    <x v="122"/>
    <s v="Cash"/>
    <s v="Segun Ajayi"/>
    <x v="3"/>
  </r>
  <r>
    <s v="SAL147"/>
    <s v="P063"/>
    <x v="0"/>
    <x v="102"/>
    <x v="61"/>
    <x v="118"/>
    <n v="12"/>
    <n v="20000"/>
    <x v="51"/>
    <s v="Transfer"/>
    <s v="Olufemi Adewale"/>
    <x v="0"/>
  </r>
  <r>
    <s v="SAL148"/>
    <s v="P025"/>
    <x v="4"/>
    <x v="103"/>
    <x v="84"/>
    <x v="119"/>
    <n v="15"/>
    <n v="690000"/>
    <x v="123"/>
    <s v="Transfer"/>
    <s v="Olufemi Adewale"/>
    <x v="3"/>
  </r>
  <r>
    <s v="SAL149"/>
    <s v="P093"/>
    <x v="3"/>
    <x v="104"/>
    <x v="85"/>
    <x v="113"/>
    <n v="14"/>
    <n v="130000"/>
    <x v="124"/>
    <s v="Cash"/>
    <s v="Sadiq Bello"/>
    <x v="4"/>
  </r>
  <r>
    <s v="SAL150"/>
    <s v="P090"/>
    <x v="8"/>
    <x v="86"/>
    <x v="74"/>
    <x v="120"/>
    <n v="3"/>
    <n v="450000"/>
    <x v="125"/>
    <s v="Transfer"/>
    <s v="Segun Ajayi"/>
    <x v="4"/>
  </r>
  <r>
    <s v="SAL151"/>
    <s v="P048"/>
    <x v="3"/>
    <x v="56"/>
    <x v="51"/>
    <x v="121"/>
    <n v="6"/>
    <n v="295000"/>
    <x v="107"/>
    <s v="Cash"/>
    <s v="Amara Nwosu"/>
    <x v="4"/>
  </r>
  <r>
    <s v="SAL152"/>
    <s v="P035"/>
    <x v="2"/>
    <x v="105"/>
    <x v="86"/>
    <x v="119"/>
    <n v="19"/>
    <n v="8500"/>
    <x v="126"/>
    <s v="Cash"/>
    <s v="Segun Ajayi"/>
    <x v="5"/>
  </r>
  <r>
    <s v="SAL153"/>
    <s v="P104"/>
    <x v="4"/>
    <x v="106"/>
    <x v="87"/>
    <x v="122"/>
    <n v="13"/>
    <n v="195000"/>
    <x v="127"/>
    <s v="POS"/>
    <s v="Amara Nwosu"/>
    <x v="1"/>
  </r>
  <r>
    <s v="SAL154"/>
    <s v="P079"/>
    <x v="8"/>
    <x v="107"/>
    <x v="88"/>
    <x v="123"/>
    <n v="7"/>
    <n v="68000"/>
    <x v="82"/>
    <s v="POS"/>
    <s v="Sadiq Bello"/>
    <x v="2"/>
  </r>
  <r>
    <s v="SAL155"/>
    <s v="P015"/>
    <x v="1"/>
    <x v="108"/>
    <x v="78"/>
    <x v="123"/>
    <n v="17"/>
    <n v="310000"/>
    <x v="128"/>
    <s v="Cash"/>
    <s v="Fatima Abdullahi"/>
    <x v="3"/>
  </r>
  <r>
    <s v="SAL156"/>
    <s v="P035"/>
    <x v="2"/>
    <x v="109"/>
    <x v="89"/>
    <x v="124"/>
    <n v="7"/>
    <n v="8500"/>
    <x v="129"/>
    <s v="POS"/>
    <s v="Ebele Okoro"/>
    <x v="5"/>
  </r>
  <r>
    <s v="SAL157"/>
    <s v="P074"/>
    <x v="0"/>
    <x v="106"/>
    <x v="87"/>
    <x v="125"/>
    <n v="4"/>
    <n v="130000"/>
    <x v="33"/>
    <s v="POS"/>
    <s v="Amara Nwosu"/>
    <x v="2"/>
  </r>
  <r>
    <s v="SAL158"/>
    <s v="P025"/>
    <x v="4"/>
    <x v="66"/>
    <x v="61"/>
    <x v="126"/>
    <n v="12"/>
    <n v="690000"/>
    <x v="130"/>
    <s v="Cash"/>
    <s v="Segun Ajayi"/>
    <x v="2"/>
  </r>
  <r>
    <s v="SAL159"/>
    <s v="P035"/>
    <x v="2"/>
    <x v="110"/>
    <x v="90"/>
    <x v="126"/>
    <n v="19"/>
    <n v="8500"/>
    <x v="126"/>
    <s v="POS"/>
    <s v="Ebele Okoro"/>
    <x v="0"/>
  </r>
  <r>
    <s v="SAL160"/>
    <s v="P031"/>
    <x v="8"/>
    <x v="106"/>
    <x v="87"/>
    <x v="127"/>
    <n v="5"/>
    <n v="255000"/>
    <x v="131"/>
    <s v="POS"/>
    <s v="Olufemi Adewale"/>
    <x v="4"/>
  </r>
  <r>
    <s v="SAL161"/>
    <s v="P079"/>
    <x v="8"/>
    <x v="106"/>
    <x v="87"/>
    <x v="128"/>
    <n v="20"/>
    <n v="68000"/>
    <x v="132"/>
    <s v="Cash"/>
    <s v="Amara Nwosu"/>
    <x v="4"/>
  </r>
  <r>
    <s v="SAL162"/>
    <s v="P020"/>
    <x v="4"/>
    <x v="111"/>
    <x v="91"/>
    <x v="129"/>
    <n v="1"/>
    <n v="610000"/>
    <x v="133"/>
    <s v="Transfer"/>
    <s v="Amara Nwosu"/>
    <x v="3"/>
  </r>
  <r>
    <s v="SAL163"/>
    <s v="P066"/>
    <x v="11"/>
    <x v="8"/>
    <x v="8"/>
    <x v="130"/>
    <n v="5"/>
    <n v="650000"/>
    <x v="81"/>
    <s v="Transfer"/>
    <s v="Olufemi Adewale"/>
    <x v="4"/>
  </r>
  <r>
    <s v="SAL164"/>
    <s v="P010"/>
    <x v="3"/>
    <x v="112"/>
    <x v="92"/>
    <x v="131"/>
    <n v="10"/>
    <n v="420000"/>
    <x v="134"/>
    <s v="POS"/>
    <s v="Sadiq Bello"/>
    <x v="0"/>
  </r>
  <r>
    <s v="SAL165"/>
    <s v="P081"/>
    <x v="7"/>
    <x v="113"/>
    <x v="93"/>
    <x v="132"/>
    <n v="14"/>
    <n v="36000"/>
    <x v="135"/>
    <s v="Cash"/>
    <s v="Segun Ajayi"/>
    <x v="0"/>
  </r>
  <r>
    <s v="SAL166"/>
    <s v="P086"/>
    <x v="1"/>
    <x v="114"/>
    <x v="94"/>
    <x v="133"/>
    <n v="1"/>
    <n v="235000"/>
    <x v="136"/>
    <s v="POS"/>
    <s v="Ebele Okoro"/>
    <x v="1"/>
  </r>
  <r>
    <s v="SAL167"/>
    <s v="P045"/>
    <x v="0"/>
    <x v="115"/>
    <x v="95"/>
    <x v="134"/>
    <n v="10"/>
    <n v="65000"/>
    <x v="137"/>
    <s v="Cash"/>
    <s v="Ebele Okoro"/>
    <x v="3"/>
  </r>
  <r>
    <s v="SAL168"/>
    <s v="P055"/>
    <x v="3"/>
    <x v="116"/>
    <x v="54"/>
    <x v="135"/>
    <n v="7"/>
    <n v="410000"/>
    <x v="138"/>
    <s v="Transfer"/>
    <s v="Segun Ajayi"/>
    <x v="4"/>
  </r>
  <r>
    <s v="SAL169"/>
    <s v="P096"/>
    <x v="5"/>
    <x v="108"/>
    <x v="78"/>
    <x v="136"/>
    <n v="14"/>
    <n v="250000"/>
    <x v="139"/>
    <s v="POS"/>
    <s v="Olufemi Adewale"/>
    <x v="4"/>
  </r>
  <r>
    <s v="SAL170"/>
    <s v="P094"/>
    <x v="0"/>
    <x v="117"/>
    <x v="31"/>
    <x v="137"/>
    <n v="10"/>
    <n v="68000"/>
    <x v="66"/>
    <s v="POS"/>
    <s v="Ebele Okoro"/>
    <x v="2"/>
  </r>
  <r>
    <s v="SAL171"/>
    <s v="P077"/>
    <x v="7"/>
    <x v="118"/>
    <x v="57"/>
    <x v="138"/>
    <n v="10"/>
    <n v="45000"/>
    <x v="140"/>
    <s v="POS"/>
    <s v="Segun Ajayi"/>
    <x v="1"/>
  </r>
  <r>
    <s v="SAL172"/>
    <s v="P099"/>
    <x v="0"/>
    <x v="119"/>
    <x v="96"/>
    <x v="139"/>
    <n v="8"/>
    <n v="70000"/>
    <x v="141"/>
    <s v="Transfer"/>
    <s v="Fatima Abdullahi"/>
    <x v="3"/>
  </r>
  <r>
    <s v="SAL173"/>
    <s v="P009"/>
    <x v="0"/>
    <x v="10"/>
    <x v="10"/>
    <x v="140"/>
    <n v="7"/>
    <n v="185000"/>
    <x v="142"/>
    <s v="Cash"/>
    <s v="Fatima Abdullahi"/>
    <x v="2"/>
  </r>
  <r>
    <s v="SAL174"/>
    <s v="P033"/>
    <x v="7"/>
    <x v="120"/>
    <x v="44"/>
    <x v="141"/>
    <n v="20"/>
    <n v="125000"/>
    <x v="143"/>
    <s v="Transfer"/>
    <s v="Amara Nwosu"/>
    <x v="5"/>
  </r>
  <r>
    <s v="SAL175"/>
    <s v="P064"/>
    <x v="4"/>
    <x v="50"/>
    <x v="46"/>
    <x v="142"/>
    <n v="2"/>
    <n v="295000"/>
    <x v="144"/>
    <s v="Transfer"/>
    <s v="Segun Ajayi"/>
    <x v="4"/>
  </r>
  <r>
    <s v="SAL176"/>
    <s v="P039"/>
    <x v="6"/>
    <x v="81"/>
    <x v="71"/>
    <x v="143"/>
    <n v="19"/>
    <n v="380000"/>
    <x v="145"/>
    <s v="Cash"/>
    <s v="Ebele Okoro"/>
    <x v="0"/>
  </r>
  <r>
    <s v="SAL177"/>
    <s v="P099"/>
    <x v="0"/>
    <x v="24"/>
    <x v="23"/>
    <x v="144"/>
    <n v="7"/>
    <n v="70000"/>
    <x v="114"/>
    <s v="Transfer"/>
    <s v="Segun Ajayi"/>
    <x v="3"/>
  </r>
  <r>
    <s v="SAL178"/>
    <s v="P038"/>
    <x v="6"/>
    <x v="116"/>
    <x v="54"/>
    <x v="140"/>
    <n v="19"/>
    <n v="435000"/>
    <x v="146"/>
    <s v="Transfer"/>
    <s v="Fatima Abdullahi"/>
    <x v="1"/>
  </r>
  <r>
    <s v="SAL179"/>
    <s v="P051"/>
    <x v="7"/>
    <x v="23"/>
    <x v="22"/>
    <x v="145"/>
    <n v="2"/>
    <n v="30000"/>
    <x v="147"/>
    <s v="Transfer"/>
    <s v="Segun Ajayi"/>
    <x v="0"/>
  </r>
  <r>
    <s v="SAL180"/>
    <s v="P090"/>
    <x v="8"/>
    <x v="14"/>
    <x v="14"/>
    <x v="143"/>
    <n v="17"/>
    <n v="450000"/>
    <x v="148"/>
    <s v="Cash"/>
    <s v="Segun Ajayi"/>
    <x v="5"/>
  </r>
  <r>
    <s v="SAL181"/>
    <s v="P031"/>
    <x v="8"/>
    <x v="121"/>
    <x v="86"/>
    <x v="146"/>
    <n v="2"/>
    <n v="255000"/>
    <x v="149"/>
    <s v="Cash"/>
    <s v="Sadiq Bello"/>
    <x v="3"/>
  </r>
  <r>
    <s v="SAL182"/>
    <s v="P062"/>
    <x v="0"/>
    <x v="122"/>
    <x v="97"/>
    <x v="147"/>
    <n v="14"/>
    <n v="16500"/>
    <x v="150"/>
    <s v="Cash"/>
    <s v="Olufemi Adewale"/>
    <x v="5"/>
  </r>
  <r>
    <s v="SAL183"/>
    <s v="P053"/>
    <x v="2"/>
    <x v="24"/>
    <x v="23"/>
    <x v="140"/>
    <n v="17"/>
    <n v="36000"/>
    <x v="70"/>
    <s v="POS"/>
    <s v="Fatima Abdullahi"/>
    <x v="0"/>
  </r>
  <r>
    <s v="SAL184"/>
    <s v="P003"/>
    <x v="1"/>
    <x v="114"/>
    <x v="94"/>
    <x v="148"/>
    <n v="10"/>
    <n v="135000"/>
    <x v="125"/>
    <s v="POS"/>
    <s v="Amara Nwosu"/>
    <x v="2"/>
  </r>
  <r>
    <s v="SAL185"/>
    <s v="P047"/>
    <x v="0"/>
    <x v="123"/>
    <x v="21"/>
    <x v="140"/>
    <n v="20"/>
    <n v="230000"/>
    <x v="151"/>
    <s v="Transfer"/>
    <s v="Segun Ajayi"/>
    <x v="2"/>
  </r>
  <r>
    <s v="SAL186"/>
    <s v="P085"/>
    <x v="4"/>
    <x v="124"/>
    <x v="98"/>
    <x v="139"/>
    <n v="11"/>
    <n v="62000"/>
    <x v="152"/>
    <s v="Cash"/>
    <s v="Amara Nwosu"/>
    <x v="2"/>
  </r>
  <r>
    <s v="SAL187"/>
    <s v="P095"/>
    <x v="7"/>
    <x v="125"/>
    <x v="99"/>
    <x v="149"/>
    <n v="18"/>
    <n v="210000"/>
    <x v="153"/>
    <s v="Cash"/>
    <s v="Olufemi Adewale"/>
    <x v="1"/>
  </r>
  <r>
    <s v="SAL188"/>
    <s v="P061"/>
    <x v="0"/>
    <x v="63"/>
    <x v="58"/>
    <x v="150"/>
    <n v="18"/>
    <n v="29500"/>
    <x v="43"/>
    <s v="POS"/>
    <s v="Fatima Abdullahi"/>
    <x v="3"/>
  </r>
  <r>
    <s v="SAL189"/>
    <s v="P056"/>
    <x v="3"/>
    <x v="51"/>
    <x v="47"/>
    <x v="151"/>
    <n v="5"/>
    <n v="560000"/>
    <x v="154"/>
    <s v="Cash"/>
    <s v="Ebele Okoro"/>
    <x v="2"/>
  </r>
  <r>
    <s v="SAL190"/>
    <s v="P014"/>
    <x v="1"/>
    <x v="54"/>
    <x v="50"/>
    <x v="152"/>
    <n v="14"/>
    <n v="195000"/>
    <x v="155"/>
    <s v="Cash"/>
    <s v="Ebele Okoro"/>
    <x v="3"/>
  </r>
  <r>
    <s v="SAL191"/>
    <s v="P080"/>
    <x v="6"/>
    <x v="126"/>
    <x v="100"/>
    <x v="153"/>
    <n v="17"/>
    <n v="56000"/>
    <x v="156"/>
    <s v="Transfer"/>
    <s v="Olufemi Adewale"/>
    <x v="5"/>
  </r>
  <r>
    <s v="SAL192"/>
    <s v="P095"/>
    <x v="7"/>
    <x v="127"/>
    <x v="101"/>
    <x v="154"/>
    <n v="4"/>
    <n v="210000"/>
    <x v="157"/>
    <s v="Cash"/>
    <s v="Sadiq Bello"/>
    <x v="1"/>
  </r>
  <r>
    <s v="SAL193"/>
    <s v="P065"/>
    <x v="1"/>
    <x v="76"/>
    <x v="67"/>
    <x v="155"/>
    <n v="10"/>
    <n v="385000"/>
    <x v="158"/>
    <s v="POS"/>
    <s v="Amara Nwosu"/>
    <x v="3"/>
  </r>
  <r>
    <s v="SAL194"/>
    <s v="P026"/>
    <x v="0"/>
    <x v="112"/>
    <x v="92"/>
    <x v="156"/>
    <n v="18"/>
    <n v="145000"/>
    <x v="159"/>
    <s v="POS"/>
    <s v="Segun Ajayi"/>
    <x v="0"/>
  </r>
  <r>
    <s v="SAL195"/>
    <s v="P046"/>
    <x v="7"/>
    <x v="23"/>
    <x v="22"/>
    <x v="157"/>
    <n v="3"/>
    <n v="110000"/>
    <x v="18"/>
    <s v="Transfer"/>
    <s v="Segun Ajayi"/>
    <x v="4"/>
  </r>
  <r>
    <s v="SAL196"/>
    <s v="P093"/>
    <x v="3"/>
    <x v="38"/>
    <x v="35"/>
    <x v="158"/>
    <n v="16"/>
    <n v="130000"/>
    <x v="160"/>
    <s v="Transfer"/>
    <s v="Amara Nwosu"/>
    <x v="0"/>
  </r>
  <r>
    <s v="SAL197"/>
    <s v="P079"/>
    <x v="8"/>
    <x v="32"/>
    <x v="30"/>
    <x v="151"/>
    <n v="18"/>
    <n v="68000"/>
    <x v="161"/>
    <s v="POS"/>
    <s v="Fatima Abdullahi"/>
    <x v="4"/>
  </r>
  <r>
    <s v="SAL198"/>
    <s v="P060"/>
    <x v="0"/>
    <x v="31"/>
    <x v="29"/>
    <x v="159"/>
    <n v="12"/>
    <n v="52000"/>
    <x v="162"/>
    <s v="Transfer"/>
    <s v="Fatima Abdullahi"/>
    <x v="2"/>
  </r>
  <r>
    <s v="SAL199"/>
    <s v="P106"/>
    <x v="10"/>
    <x v="22"/>
    <x v="21"/>
    <x v="156"/>
    <n v="8"/>
    <n v="63000"/>
    <x v="135"/>
    <s v="Transfer"/>
    <s v="Amara Nwosu"/>
    <x v="1"/>
  </r>
  <r>
    <s v="SAL200"/>
    <s v="P095"/>
    <x v="7"/>
    <x v="128"/>
    <x v="80"/>
    <x v="160"/>
    <n v="15"/>
    <n v="210000"/>
    <x v="163"/>
    <s v="Cash"/>
    <s v="Fatima Abdullahi"/>
    <x v="0"/>
  </r>
  <r>
    <s v="SAL201"/>
    <s v="P026"/>
    <x v="0"/>
    <x v="120"/>
    <x v="44"/>
    <x v="161"/>
    <n v="1"/>
    <n v="145000"/>
    <x v="164"/>
    <s v="Cash"/>
    <s v="Ebele Okoro"/>
    <x v="0"/>
  </r>
  <r>
    <s v="SAL202"/>
    <s v="P096"/>
    <x v="5"/>
    <x v="129"/>
    <x v="102"/>
    <x v="162"/>
    <n v="3"/>
    <n v="250000"/>
    <x v="165"/>
    <s v="POS"/>
    <s v="Segun Ajayi"/>
    <x v="2"/>
  </r>
  <r>
    <s v="SAL203"/>
    <s v="P086"/>
    <x v="1"/>
    <x v="13"/>
    <x v="13"/>
    <x v="154"/>
    <n v="19"/>
    <n v="235000"/>
    <x v="166"/>
    <s v="Cash"/>
    <s v="Amara Nwosu"/>
    <x v="5"/>
  </r>
  <r>
    <s v="SAL204"/>
    <s v="P059"/>
    <x v="6"/>
    <x v="111"/>
    <x v="91"/>
    <x v="154"/>
    <n v="2"/>
    <n v="78000"/>
    <x v="80"/>
    <s v="Cash"/>
    <s v="Fatima Abdullahi"/>
    <x v="3"/>
  </r>
  <r>
    <s v="SAL205"/>
    <s v="P062"/>
    <x v="0"/>
    <x v="55"/>
    <x v="48"/>
    <x v="163"/>
    <n v="8"/>
    <n v="16500"/>
    <x v="167"/>
    <s v="Transfer"/>
    <s v="Fatima Abdullahi"/>
    <x v="1"/>
  </r>
  <r>
    <s v="SAL206"/>
    <s v="P079"/>
    <x v="8"/>
    <x v="130"/>
    <x v="103"/>
    <x v="164"/>
    <n v="16"/>
    <n v="68000"/>
    <x v="168"/>
    <s v="Transfer"/>
    <s v="Olufemi Adewale"/>
    <x v="4"/>
  </r>
  <r>
    <s v="SAL207"/>
    <s v="P031"/>
    <x v="8"/>
    <x v="131"/>
    <x v="104"/>
    <x v="165"/>
    <n v="5"/>
    <n v="255000"/>
    <x v="131"/>
    <s v="Cash"/>
    <s v="Amara Nwosu"/>
    <x v="0"/>
  </r>
  <r>
    <s v="SAL208"/>
    <s v="P071"/>
    <x v="0"/>
    <x v="5"/>
    <x v="5"/>
    <x v="165"/>
    <n v="1"/>
    <n v="65000"/>
    <x v="169"/>
    <s v="POS"/>
    <s v="Fatima Abdullahi"/>
    <x v="3"/>
  </r>
  <r>
    <s v="SAL209"/>
    <s v="P105"/>
    <x v="0"/>
    <x v="132"/>
    <x v="22"/>
    <x v="166"/>
    <n v="17"/>
    <n v="38000"/>
    <x v="170"/>
    <s v="POS"/>
    <s v="Amara Nwosu"/>
    <x v="1"/>
  </r>
  <r>
    <s v="SAL210"/>
    <s v="P084"/>
    <x v="6"/>
    <x v="133"/>
    <x v="105"/>
    <x v="167"/>
    <n v="11"/>
    <n v="46000"/>
    <x v="171"/>
    <s v="Transfer"/>
    <s v="Fatima Abdullahi"/>
    <x v="4"/>
  </r>
  <r>
    <s v="SAL211"/>
    <s v="P084"/>
    <x v="6"/>
    <x v="51"/>
    <x v="47"/>
    <x v="168"/>
    <n v="2"/>
    <n v="46000"/>
    <x v="102"/>
    <s v="POS"/>
    <s v="Amara Nwosu"/>
    <x v="3"/>
  </r>
  <r>
    <s v="SAL212"/>
    <s v="P019"/>
    <x v="3"/>
    <x v="90"/>
    <x v="78"/>
    <x v="169"/>
    <n v="14"/>
    <n v="215000"/>
    <x v="172"/>
    <s v="Transfer"/>
    <s v="Amara Nwosu"/>
    <x v="5"/>
  </r>
  <r>
    <s v="SAL213"/>
    <s v="P009"/>
    <x v="0"/>
    <x v="134"/>
    <x v="106"/>
    <x v="170"/>
    <n v="3"/>
    <n v="185000"/>
    <x v="173"/>
    <s v="POS"/>
    <s v="Sadiq Bello"/>
    <x v="5"/>
  </r>
  <r>
    <s v="SAL214"/>
    <s v="P006"/>
    <x v="0"/>
    <x v="135"/>
    <x v="107"/>
    <x v="165"/>
    <n v="14"/>
    <n v="345000"/>
    <x v="174"/>
    <s v="POS"/>
    <s v="Fatima Abdullahi"/>
    <x v="1"/>
  </r>
  <r>
    <s v="SAL215"/>
    <s v="P055"/>
    <x v="3"/>
    <x v="136"/>
    <x v="108"/>
    <x v="171"/>
    <n v="11"/>
    <n v="410000"/>
    <x v="175"/>
    <s v="Transfer"/>
    <s v="Segun Ajayi"/>
    <x v="3"/>
  </r>
  <r>
    <s v="SAL216"/>
    <s v="P030"/>
    <x v="8"/>
    <x v="137"/>
    <x v="109"/>
    <x v="172"/>
    <n v="9"/>
    <n v="950000"/>
    <x v="176"/>
    <s v="Transfer"/>
    <s v="Segun Ajayi"/>
    <x v="1"/>
  </r>
  <r>
    <s v="SAL217"/>
    <s v="P053"/>
    <x v="2"/>
    <x v="37"/>
    <x v="34"/>
    <x v="165"/>
    <n v="3"/>
    <n v="36000"/>
    <x v="177"/>
    <s v="Cash"/>
    <s v="Sadiq Bello"/>
    <x v="3"/>
  </r>
  <r>
    <s v="SAL218"/>
    <s v="P105"/>
    <x v="0"/>
    <x v="138"/>
    <x v="110"/>
    <x v="173"/>
    <n v="20"/>
    <n v="38000"/>
    <x v="178"/>
    <s v="Transfer"/>
    <s v="Segun Ajayi"/>
    <x v="4"/>
  </r>
  <r>
    <s v="SAL219"/>
    <s v="P103"/>
    <x v="0"/>
    <x v="139"/>
    <x v="13"/>
    <x v="174"/>
    <n v="13"/>
    <n v="19000"/>
    <x v="179"/>
    <s v="POS"/>
    <s v="Fatima Abdullahi"/>
    <x v="0"/>
  </r>
  <r>
    <s v="SAL220"/>
    <s v="P104"/>
    <x v="4"/>
    <x v="65"/>
    <x v="60"/>
    <x v="170"/>
    <n v="7"/>
    <n v="195000"/>
    <x v="180"/>
    <s v="POS"/>
    <s v="Amara Nwosu"/>
    <x v="1"/>
  </r>
  <r>
    <s v="SAL221"/>
    <s v="P104"/>
    <x v="4"/>
    <x v="140"/>
    <x v="111"/>
    <x v="175"/>
    <n v="6"/>
    <n v="195000"/>
    <x v="60"/>
    <s v="Transfer"/>
    <s v="Olufemi Adewale"/>
    <x v="1"/>
  </r>
  <r>
    <s v="SAL222"/>
    <s v="P039"/>
    <x v="6"/>
    <x v="22"/>
    <x v="21"/>
    <x v="176"/>
    <n v="15"/>
    <n v="380000"/>
    <x v="181"/>
    <s v="Transfer"/>
    <s v="Amara Nwosu"/>
    <x v="5"/>
  </r>
  <r>
    <s v="SAL223"/>
    <s v="P066"/>
    <x v="11"/>
    <x v="141"/>
    <x v="3"/>
    <x v="177"/>
    <n v="16"/>
    <n v="650000"/>
    <x v="182"/>
    <s v="Cash"/>
    <s v="Amara Nwosu"/>
    <x v="0"/>
  </r>
  <r>
    <s v="SAL224"/>
    <s v="P079"/>
    <x v="8"/>
    <x v="142"/>
    <x v="72"/>
    <x v="178"/>
    <n v="9"/>
    <n v="68000"/>
    <x v="70"/>
    <s v="POS"/>
    <s v="Ebele Okoro"/>
    <x v="1"/>
  </r>
  <r>
    <s v="SAL225"/>
    <s v="P031"/>
    <x v="8"/>
    <x v="81"/>
    <x v="71"/>
    <x v="179"/>
    <n v="11"/>
    <n v="255000"/>
    <x v="183"/>
    <s v="Transfer"/>
    <s v="Fatima Abdullahi"/>
    <x v="1"/>
  </r>
  <r>
    <s v="SAL226"/>
    <s v="P069"/>
    <x v="9"/>
    <x v="133"/>
    <x v="105"/>
    <x v="180"/>
    <n v="5"/>
    <n v="710000"/>
    <x v="184"/>
    <s v="POS"/>
    <s v="Ebele Okoro"/>
    <x v="4"/>
  </r>
  <r>
    <s v="SAL227"/>
    <s v="P091"/>
    <x v="6"/>
    <x v="64"/>
    <x v="59"/>
    <x v="181"/>
    <n v="18"/>
    <n v="105000"/>
    <x v="185"/>
    <s v="POS"/>
    <s v="Segun Ajayi"/>
    <x v="0"/>
  </r>
  <r>
    <s v="SAL228"/>
    <s v="P086"/>
    <x v="1"/>
    <x v="29"/>
    <x v="27"/>
    <x v="182"/>
    <n v="17"/>
    <n v="235000"/>
    <x v="186"/>
    <s v="Cash"/>
    <s v="Olufemi Adewale"/>
    <x v="0"/>
  </r>
  <r>
    <s v="SAL229"/>
    <s v="P066"/>
    <x v="11"/>
    <x v="143"/>
    <x v="112"/>
    <x v="183"/>
    <n v="17"/>
    <n v="650000"/>
    <x v="187"/>
    <s v="Transfer"/>
    <s v="Olufemi Adewale"/>
    <x v="2"/>
  </r>
  <r>
    <s v="SAL230"/>
    <s v="P074"/>
    <x v="0"/>
    <x v="52"/>
    <x v="48"/>
    <x v="178"/>
    <n v="6"/>
    <n v="130000"/>
    <x v="188"/>
    <s v="POS"/>
    <s v="Sadiq Bello"/>
    <x v="5"/>
  </r>
  <r>
    <s v="SAL231"/>
    <s v="P046"/>
    <x v="7"/>
    <x v="112"/>
    <x v="92"/>
    <x v="184"/>
    <n v="1"/>
    <n v="110000"/>
    <x v="189"/>
    <s v="POS"/>
    <s v="Segun Ajayi"/>
    <x v="3"/>
  </r>
  <r>
    <s v="SAL232"/>
    <s v="P073"/>
    <x v="3"/>
    <x v="144"/>
    <x v="70"/>
    <x v="185"/>
    <n v="20"/>
    <n v="540000"/>
    <x v="190"/>
    <s v="Transfer"/>
    <s v="Fatima Abdullahi"/>
    <x v="3"/>
  </r>
  <r>
    <s v="SAL233"/>
    <s v="P032"/>
    <x v="8"/>
    <x v="101"/>
    <x v="28"/>
    <x v="179"/>
    <n v="3"/>
    <n v="295000"/>
    <x v="191"/>
    <s v="Cash"/>
    <s v="Olufemi Adewale"/>
    <x v="3"/>
  </r>
  <r>
    <m/>
    <m/>
    <x v="12"/>
    <x v="145"/>
    <x v="113"/>
    <x v="186"/>
    <m/>
    <m/>
    <x v="192"/>
    <m/>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
  <r>
    <s v="SAL001"/>
    <s v="P083"/>
    <s v="Agricultural Equipment"/>
    <s v="CUST176"/>
    <s v="Funmilayo Akintola"/>
    <d v="2025-01-13T00:00:00"/>
    <n v="5"/>
    <n v="8500"/>
    <n v="15000"/>
    <n v="75000"/>
    <x v="0"/>
    <s v="Sadiq Bello"/>
    <x v="0"/>
    <n v="32500"/>
  </r>
  <r>
    <s v="SAL002"/>
    <s v="P008"/>
    <s v="Agricultural Equipment"/>
    <s v="CUST022"/>
    <s v="Aminat Hassan"/>
    <d v="2025-01-06T00:00:00"/>
    <n v="3"/>
    <n v="15000"/>
    <n v="24000"/>
    <n v="72000"/>
    <x v="1"/>
    <s v="Segun Ajayi"/>
    <x v="0"/>
    <n v="27000"/>
  </r>
  <r>
    <s v="SAL003"/>
    <s v="P001"/>
    <s v="Agricultural Machine"/>
    <s v="CUST079"/>
    <s v="Blessing Egwu"/>
    <d v="2025-01-16T00:00:00"/>
    <n v="14"/>
    <n v="120000"/>
    <n v="165000"/>
    <n v="2310000"/>
    <x v="2"/>
    <s v="Fatima Abdullahi"/>
    <x v="1"/>
    <n v="630000"/>
  </r>
  <r>
    <s v="SAL004"/>
    <s v="P022"/>
    <s v="Agricultural Equipment"/>
    <s v="CUST198"/>
    <s v="Kudirat Ahmed"/>
    <d v="2025-01-06T00:00:00"/>
    <n v="12"/>
    <n v="32000"/>
    <n v="48000"/>
    <n v="576000"/>
    <x v="0"/>
    <s v="Segun Ajayi"/>
    <x v="2"/>
    <n v="192000"/>
  </r>
  <r>
    <s v="SAL005"/>
    <s v="P054"/>
    <s v="Safety Equipment"/>
    <s v="CUST051"/>
    <s v="Halima Abubakar"/>
    <d v="2025-01-28T00:00:00"/>
    <n v="10"/>
    <n v="35000"/>
    <n v="55000"/>
    <n v="550000"/>
    <x v="1"/>
    <s v="Ebele Okoro"/>
    <x v="3"/>
    <n v="200000"/>
  </r>
  <r>
    <s v="SAL006"/>
    <s v="P041"/>
    <s v="Agricultural Machine"/>
    <s v="CUST228"/>
    <s v="Joyce Akpan"/>
    <d v="2025-01-01T00:00:00"/>
    <n v="17"/>
    <n v="155000"/>
    <n v="215000"/>
    <n v="3655000"/>
    <x v="2"/>
    <s v="Sadiq Bello"/>
    <x v="4"/>
    <n v="1020000"/>
  </r>
  <r>
    <s v="SAL007"/>
    <s v="P022"/>
    <s v="Agricultural Equipment"/>
    <s v="CUST217"/>
    <s v="Lawrence Okoro"/>
    <d v="2025-01-24T00:00:00"/>
    <n v="17"/>
    <n v="32000"/>
    <n v="48000"/>
    <n v="816000"/>
    <x v="2"/>
    <s v="Fatima Abdullahi"/>
    <x v="4"/>
    <n v="272000"/>
  </r>
  <r>
    <s v="SAL008"/>
    <s v="P088"/>
    <s v="Processing Equipment"/>
    <s v="CUST247"/>
    <s v="Esther Peter"/>
    <d v="2025-01-07T00:00:00"/>
    <n v="6"/>
    <n v="275000"/>
    <n v="385000"/>
    <n v="2310000"/>
    <x v="0"/>
    <s v="Sadiq Bello"/>
    <x v="5"/>
    <n v="660000"/>
  </r>
  <r>
    <s v="SAL009"/>
    <s v="P049"/>
    <s v="Storage Equipment"/>
    <s v="CUST042"/>
    <s v="Ahmed Ibrahim"/>
    <d v="2025-01-31T00:00:00"/>
    <n v="20"/>
    <n v="340000"/>
    <n v="465000"/>
    <n v="9300000"/>
    <x v="1"/>
    <s v="Olufemi Adewale"/>
    <x v="0"/>
    <n v="2500000"/>
  </r>
  <r>
    <s v="SAL010"/>
    <s v="P097"/>
    <s v="Harvesting Equipment"/>
    <s v="CUST187"/>
    <s v="Suleiman Ahmed"/>
    <d v="2025-01-20T00:00:00"/>
    <n v="14"/>
    <n v="220000"/>
    <n v="310000"/>
    <n v="4340000"/>
    <x v="2"/>
    <s v="Fatima Abdullahi"/>
    <x v="1"/>
    <n v="1260000"/>
  </r>
  <r>
    <s v="SAL011"/>
    <s v="P043"/>
    <s v="Agricultural Machine"/>
    <s v="CUST196"/>
    <s v="Habibat Bello"/>
    <d v="2025-01-06T00:00:00"/>
    <n v="15"/>
    <n v="115000"/>
    <n v="165000"/>
    <n v="2475000"/>
    <x v="0"/>
    <s v="Olufemi Adewale"/>
    <x v="2"/>
    <n v="750000"/>
  </r>
  <r>
    <s v="SAL012"/>
    <s v="P037"/>
    <s v="Agricultural Machine"/>
    <s v="CUST231"/>
    <s v="Blessing Nwachukwu"/>
    <d v="2025-01-30T00:00:00"/>
    <n v="4"/>
    <n v="620000"/>
    <n v="820000"/>
    <n v="3280000"/>
    <x v="2"/>
    <s v="Ebele Okoro"/>
    <x v="1"/>
    <n v="800000"/>
  </r>
  <r>
    <s v="SAL013"/>
    <s v="P084"/>
    <s v="Power Equipment"/>
    <s v="CUST054"/>
    <s v="Aisha Mohammed"/>
    <d v="2025-01-04T00:00:00"/>
    <n v="20"/>
    <n v="29000"/>
    <n v="46000"/>
    <n v="920000"/>
    <x v="1"/>
    <s v="Segun Ajayi"/>
    <x v="2"/>
    <n v="340000"/>
  </r>
  <r>
    <s v="SAL014"/>
    <s v="P064"/>
    <s v="Storage Equipment"/>
    <s v="CUST146"/>
    <s v="Miriam Okoro"/>
    <d v="2025-01-23T00:00:00"/>
    <n v="15"/>
    <n v="210000"/>
    <n v="295000"/>
    <n v="4425000"/>
    <x v="0"/>
    <s v="Ebele Okoro"/>
    <x v="2"/>
    <n v="1275000"/>
  </r>
  <r>
    <s v="SAL015"/>
    <s v="P044"/>
    <s v="Storage Equipment"/>
    <s v="CUST239"/>
    <s v="Chinaza Eze"/>
    <d v="2025-01-22T00:00:00"/>
    <n v="14"/>
    <n v="38000"/>
    <n v="58000"/>
    <n v="812000"/>
    <x v="1"/>
    <s v="Fatima Abdullahi"/>
    <x v="4"/>
    <n v="280000"/>
  </r>
  <r>
    <s v="SAL016"/>
    <s v="P054"/>
    <s v="Safety Equipment"/>
    <s v="CUST201"/>
    <s v="Maryam Yusuf"/>
    <d v="2025-01-25T00:00:00"/>
    <n v="5"/>
    <n v="35000"/>
    <n v="55000"/>
    <n v="275000"/>
    <x v="2"/>
    <s v="Amara Nwosu"/>
    <x v="2"/>
    <n v="100000"/>
  </r>
  <r>
    <s v="SAL017"/>
    <s v="P029"/>
    <s v="Processing Equipment"/>
    <s v="CUST230"/>
    <s v="Rebecca Ayo"/>
    <d v="2025-01-24T00:00:00"/>
    <n v="1"/>
    <n v="47000"/>
    <n v="72000"/>
    <n v="72000"/>
    <x v="0"/>
    <s v="Amara Nwosu"/>
    <x v="5"/>
    <n v="25000"/>
  </r>
  <r>
    <s v="SAL018"/>
    <s v="P044"/>
    <s v="Storage Equipment"/>
    <s v="CUST206"/>
    <s v="Esther Chukwu"/>
    <d v="2025-02-16T00:00:00"/>
    <n v="13"/>
    <n v="38000"/>
    <n v="58000"/>
    <n v="754000"/>
    <x v="1"/>
    <s v="Segun Ajayi"/>
    <x v="3"/>
    <n v="260000"/>
  </r>
  <r>
    <s v="SAL019"/>
    <s v="P058"/>
    <s v="Power Equipment"/>
    <s v="CUST190"/>
    <s v="Ebere Okoro"/>
    <d v="2025-02-10T00:00:00"/>
    <n v="15"/>
    <n v="29000"/>
    <n v="46000"/>
    <n v="690000"/>
    <x v="0"/>
    <s v="Ebele Okoro"/>
    <x v="3"/>
    <n v="255000"/>
  </r>
  <r>
    <s v="SAL020"/>
    <s v="P062"/>
    <s v="Agricultural Equipment"/>
    <s v="CUST142"/>
    <s v="Ahmed Ibrahim"/>
    <d v="2025-02-13T00:00:00"/>
    <n v="9"/>
    <n v="9500"/>
    <n v="16500"/>
    <n v="148500"/>
    <x v="2"/>
    <s v="Amara Nwosu"/>
    <x v="5"/>
    <n v="63000"/>
  </r>
  <r>
    <s v="SAL021"/>
    <s v="P051"/>
    <s v="Fabrication Tools"/>
    <s v="CUST205"/>
    <s v="Michael Obi"/>
    <d v="2025-02-25T00:00:00"/>
    <n v="11"/>
    <n v="18000"/>
    <n v="30000"/>
    <n v="330000"/>
    <x v="2"/>
    <s v="Ebele Okoro"/>
    <x v="0"/>
    <n v="132000"/>
  </r>
  <r>
    <s v="SAL022"/>
    <s v="P029"/>
    <s v="Processing Equipment"/>
    <s v="CUST015"/>
    <s v="David Eze"/>
    <d v="2025-02-19T00:00:00"/>
    <n v="16"/>
    <n v="47000"/>
    <n v="72000"/>
    <n v="1152000"/>
    <x v="1"/>
    <s v="Segun Ajayi"/>
    <x v="3"/>
    <n v="400000"/>
  </r>
  <r>
    <s v="SAL023"/>
    <s v="P100"/>
    <s v="Agricultural Equipment"/>
    <s v="CUST162"/>
    <s v="Salatu Abdullahi"/>
    <d v="2025-02-12T00:00:00"/>
    <n v="18"/>
    <n v="120000"/>
    <n v="180000"/>
    <n v="3240000"/>
    <x v="1"/>
    <s v="Sadiq Bello"/>
    <x v="2"/>
    <n v="1080000"/>
  </r>
  <r>
    <s v="SAL024"/>
    <s v="P044"/>
    <s v="Storage Equipment"/>
    <s v="CUST239"/>
    <s v="Chinaza Eze"/>
    <d v="2025-02-12T00:00:00"/>
    <n v="13"/>
    <n v="38000"/>
    <n v="58000"/>
    <n v="754000"/>
    <x v="0"/>
    <s v="Amara Nwosu"/>
    <x v="4"/>
    <n v="260000"/>
  </r>
  <r>
    <s v="SAL025"/>
    <s v="P096"/>
    <s v="Harvesting Equipment"/>
    <s v="CUST182"/>
    <s v="Oluwafunke Ayo"/>
    <d v="2025-02-15T00:00:00"/>
    <n v="11"/>
    <n v="180000"/>
    <n v="250000"/>
    <n v="2750000"/>
    <x v="1"/>
    <s v="Amara Nwosu"/>
    <x v="4"/>
    <n v="770000"/>
  </r>
  <r>
    <s v="SAL026"/>
    <s v="P075"/>
    <s v="Processing Equipment"/>
    <s v="CUST097"/>
    <s v="Obinna Nwosu"/>
    <d v="2025-02-26T00:00:00"/>
    <n v="18"/>
    <n v="125000"/>
    <n v="185000"/>
    <n v="3330000"/>
    <x v="2"/>
    <s v="Ebele Okoro"/>
    <x v="0"/>
    <n v="1080000"/>
  </r>
  <r>
    <s v="SAL027"/>
    <s v="P040"/>
    <s v="Power Equipment"/>
    <s v="CUST115"/>
    <s v="David Eze"/>
    <d v="2025-02-18T00:00:00"/>
    <n v="2"/>
    <n v="65000"/>
    <n v="95000"/>
    <n v="190000"/>
    <x v="0"/>
    <s v="Amara Nwosu"/>
    <x v="4"/>
    <n v="60000"/>
  </r>
  <r>
    <s v="SAL028"/>
    <s v="P078"/>
    <s v="Industrial Equipment"/>
    <s v="CUST078"/>
    <s v="Barakat Lawal"/>
    <d v="2025-02-18T00:00:00"/>
    <n v="4"/>
    <n v="65000"/>
    <n v="85000"/>
    <n v="340000"/>
    <x v="1"/>
    <s v="Olufemi Adewale"/>
    <x v="1"/>
    <n v="80000"/>
  </r>
  <r>
    <s v="SAL029"/>
    <s v="P025"/>
    <s v="Storage Equipment"/>
    <s v="CUST007"/>
    <s v="Sandra Adebayo"/>
    <d v="2025-02-11T00:00:00"/>
    <n v="10"/>
    <n v="510000"/>
    <n v="690000"/>
    <n v="6900000"/>
    <x v="0"/>
    <s v="Olufemi Adewale"/>
    <x v="1"/>
    <n v="1800000"/>
  </r>
  <r>
    <s v="SAL030"/>
    <s v="P022"/>
    <s v="Agricultural Equipment"/>
    <s v="CUST104"/>
    <s v="Halima Musa"/>
    <d v="2025-02-20T00:00:00"/>
    <n v="15"/>
    <n v="32000"/>
    <n v="48000"/>
    <n v="720000"/>
    <x v="2"/>
    <s v="Fatima Abdullahi"/>
    <x v="1"/>
    <n v="240000"/>
  </r>
  <r>
    <s v="SAL031"/>
    <s v="P052"/>
    <s v="Storage Equipment"/>
    <s v="CUST079"/>
    <s v="Blessing Egwu"/>
    <d v="2025-02-16T00:00:00"/>
    <n v="20"/>
    <n v="125000"/>
    <n v="185000"/>
    <n v="3700000"/>
    <x v="1"/>
    <s v="Ebele Okoro"/>
    <x v="5"/>
    <n v="1200000"/>
  </r>
  <r>
    <s v="SAL032"/>
    <s v="P055"/>
    <s v="Processing Equipment"/>
    <s v="CUST034"/>
    <s v="Joseph Anene"/>
    <d v="2025-02-27T00:00:00"/>
    <n v="10"/>
    <n v="295000"/>
    <n v="410000"/>
    <n v="4100000"/>
    <x v="2"/>
    <s v="Sadiq Bello"/>
    <x v="0"/>
    <n v="1150000"/>
  </r>
  <r>
    <s v="SAL033"/>
    <s v="P014"/>
    <s v="Agricultural Machine"/>
    <s v="CUST239"/>
    <s v="Chinaza Eze"/>
    <d v="2025-02-17T00:00:00"/>
    <n v="2"/>
    <n v="140000"/>
    <n v="195000"/>
    <n v="390000"/>
    <x v="0"/>
    <s v="Amara Nwosu"/>
    <x v="3"/>
    <n v="110000"/>
  </r>
  <r>
    <s v="SAL034"/>
    <s v="P079"/>
    <s v="Industrial Equipment"/>
    <s v="CUST104"/>
    <s v="Halima Musa"/>
    <d v="2025-02-27T00:00:00"/>
    <n v="13"/>
    <n v="42000"/>
    <n v="68000"/>
    <n v="884000"/>
    <x v="0"/>
    <s v="Amara Nwosu"/>
    <x v="4"/>
    <n v="338000"/>
  </r>
  <r>
    <s v="SAL035"/>
    <s v="P026"/>
    <s v="Agricultural Equipment"/>
    <s v="CUST040"/>
    <s v="Joy Okafor"/>
    <d v="2025-03-24T00:00:00"/>
    <n v="14"/>
    <n v="98000"/>
    <n v="145000"/>
    <n v="2030000"/>
    <x v="1"/>
    <s v="Segun Ajayi"/>
    <x v="2"/>
    <n v="658000"/>
  </r>
  <r>
    <s v="SAL036"/>
    <s v="P074"/>
    <s v="Agricultural Equipment"/>
    <s v="CUST114"/>
    <s v="Mariam Yusuf"/>
    <d v="2025-03-30T00:00:00"/>
    <n v="3"/>
    <n v="88000"/>
    <n v="130000"/>
    <n v="390000"/>
    <x v="2"/>
    <s v="Ebele Okoro"/>
    <x v="2"/>
    <n v="126000"/>
  </r>
  <r>
    <s v="SAL037"/>
    <s v="P096"/>
    <s v="Harvesting Equipment"/>
    <s v="CUST248"/>
    <s v="Danladi Ibrahim"/>
    <d v="2025-03-23T00:00:00"/>
    <n v="20"/>
    <n v="180000"/>
    <n v="250000"/>
    <n v="5000000"/>
    <x v="1"/>
    <s v="Amara Nwosu"/>
    <x v="5"/>
    <n v="1400000"/>
  </r>
  <r>
    <s v="SAL038"/>
    <s v="P093"/>
    <s v="Processing Equipment"/>
    <s v="CUST231"/>
    <s v="Blessing Nwachukwu"/>
    <d v="2025-03-05T00:00:00"/>
    <n v="4"/>
    <n v="85000"/>
    <n v="130000"/>
    <n v="520000"/>
    <x v="2"/>
    <s v="Sadiq Bello"/>
    <x v="5"/>
    <n v="180000"/>
  </r>
  <r>
    <s v="SAL039"/>
    <s v="P018"/>
    <s v="Processing Equipment"/>
    <s v="CUST155"/>
    <s v="Daniel Peter"/>
    <d v="2025-03-15T00:00:00"/>
    <n v="11"/>
    <n v="65000"/>
    <n v="95000"/>
    <n v="1045000"/>
    <x v="0"/>
    <s v="Segun Ajayi"/>
    <x v="4"/>
    <n v="330000"/>
  </r>
  <r>
    <s v="SAL040"/>
    <s v="P001"/>
    <s v="Agricultural Machine"/>
    <s v="CUST148"/>
    <s v="Chika Eze"/>
    <d v="2025-03-24T00:00:00"/>
    <n v="14"/>
    <n v="120000"/>
    <n v="165000"/>
    <n v="2310000"/>
    <x v="0"/>
    <s v="Segun Ajayi"/>
    <x v="3"/>
    <n v="630000"/>
  </r>
  <r>
    <s v="SAL041"/>
    <s v="P098"/>
    <s v="Processing Equipment"/>
    <s v="CUST120"/>
    <s v="Usman Bello"/>
    <d v="2025-03-21T00:00:00"/>
    <n v="2"/>
    <n v="95000"/>
    <n v="145000"/>
    <n v="290000"/>
    <x v="1"/>
    <s v="Sadiq Bello"/>
    <x v="1"/>
    <n v="100000"/>
  </r>
  <r>
    <s v="SAL042"/>
    <s v="P003"/>
    <s v="Agricultural Machine"/>
    <s v="CUST178"/>
    <s v="Barakat Lawal"/>
    <d v="2025-03-19T00:00:00"/>
    <n v="11"/>
    <n v="95000"/>
    <n v="135000"/>
    <n v="1485000"/>
    <x v="2"/>
    <s v="Fatima Abdullahi"/>
    <x v="0"/>
    <n v="440000"/>
  </r>
  <r>
    <s v="SAL043"/>
    <s v="P079"/>
    <s v="Industrial Equipment"/>
    <s v="CUST190"/>
    <s v="Ebere Okoro"/>
    <d v="2025-03-09T00:00:00"/>
    <n v="2"/>
    <n v="42000"/>
    <n v="68000"/>
    <n v="136000"/>
    <x v="0"/>
    <s v="Sadiq Bello"/>
    <x v="2"/>
    <n v="52000"/>
  </r>
  <r>
    <s v="SAL044"/>
    <s v="P098"/>
    <s v="Processing Equipment"/>
    <s v="CUST104"/>
    <s v="Halima Musa"/>
    <d v="2025-03-26T00:00:00"/>
    <n v="9"/>
    <n v="95000"/>
    <n v="145000"/>
    <n v="1305000"/>
    <x v="1"/>
    <s v="Sadiq Bello"/>
    <x v="1"/>
    <n v="450000"/>
  </r>
  <r>
    <s v="SAL045"/>
    <s v="P065"/>
    <s v="Agricultural Machine"/>
    <s v="CUST073"/>
    <s v="Nkiru Obi"/>
    <d v="2025-03-31T00:00:00"/>
    <n v="6"/>
    <n v="275000"/>
    <n v="385000"/>
    <n v="2310000"/>
    <x v="0"/>
    <s v="Fatima Abdullahi"/>
    <x v="1"/>
    <n v="660000"/>
  </r>
  <r>
    <s v="SAL046"/>
    <s v="P032"/>
    <s v="Industrial Equipment"/>
    <s v="CUST209"/>
    <s v="Emmanuel John"/>
    <d v="2025-03-10T00:00:00"/>
    <n v="5"/>
    <n v="210000"/>
    <n v="295000"/>
    <n v="1475000"/>
    <x v="2"/>
    <s v="Segun Ajayi"/>
    <x v="5"/>
    <n v="425000"/>
  </r>
  <r>
    <s v="SAL047"/>
    <s v="P048"/>
    <s v="Processing Equipment"/>
    <s v="CUST231"/>
    <s v="Blessing Nwachukwu"/>
    <d v="2025-03-15T00:00:00"/>
    <n v="8"/>
    <n v="210000"/>
    <n v="295000"/>
    <n v="2360000"/>
    <x v="1"/>
    <s v="Fatima Abdullahi"/>
    <x v="5"/>
    <n v="680000"/>
  </r>
  <r>
    <s v="SAL048"/>
    <s v="P017"/>
    <s v="Agricultural Machine"/>
    <s v="CUST173"/>
    <s v="Nkiru Obi"/>
    <d v="2025-03-15T00:00:00"/>
    <n v="8"/>
    <n v="680000"/>
    <n v="890000"/>
    <n v="7120000"/>
    <x v="1"/>
    <s v="Olufemi Adewale"/>
    <x v="3"/>
    <n v="1680000"/>
  </r>
  <r>
    <s v="SAL049"/>
    <s v="P094"/>
    <s v="Agricultural Equipment"/>
    <s v="CUST044"/>
    <s v="Sarah Chima"/>
    <d v="2025-03-29T00:00:00"/>
    <n v="11"/>
    <n v="42000"/>
    <n v="68000"/>
    <n v="748000"/>
    <x v="2"/>
    <s v="Fatima Abdullahi"/>
    <x v="5"/>
    <n v="286000"/>
  </r>
  <r>
    <s v="SAL050"/>
    <s v="P061"/>
    <s v="Agricultural Equipment"/>
    <s v="CUST001"/>
    <s v="Chinedu Okafor"/>
    <d v="2025-03-25T00:00:00"/>
    <n v="18"/>
    <n v="18500"/>
    <n v="29500"/>
    <n v="531000"/>
    <x v="1"/>
    <s v="Olufemi Adewale"/>
    <x v="4"/>
    <n v="198000"/>
  </r>
  <r>
    <s v="SAL051"/>
    <s v="P084"/>
    <s v="Power Equipment"/>
    <s v="CUST219"/>
    <s v="Umar Mohammed"/>
    <d v="2025-03-08T00:00:00"/>
    <n v="1"/>
    <n v="29000"/>
    <n v="46000"/>
    <n v="46000"/>
    <x v="1"/>
    <s v="Amara Nwosu"/>
    <x v="2"/>
    <n v="17000"/>
  </r>
  <r>
    <s v="SAL052"/>
    <s v="P025"/>
    <s v="Storage Equipment"/>
    <s v="CUST243"/>
    <s v="Patience Nwankwo"/>
    <d v="2025-04-28T00:00:00"/>
    <n v="10"/>
    <n v="510000"/>
    <n v="690000"/>
    <n v="6900000"/>
    <x v="1"/>
    <s v="Sadiq Bello"/>
    <x v="3"/>
    <n v="1800000"/>
  </r>
  <r>
    <s v="SAL053"/>
    <s v="P047"/>
    <s v="Agricultural Equipment"/>
    <s v="CUST219"/>
    <s v="Umar Mohammed"/>
    <d v="2025-04-25T00:00:00"/>
    <n v="3"/>
    <n v="165000"/>
    <n v="230000"/>
    <n v="690000"/>
    <x v="0"/>
    <s v="Fatima Abdullahi"/>
    <x v="0"/>
    <n v="195000"/>
  </r>
  <r>
    <s v="SAL054"/>
    <s v="P017"/>
    <s v="Agricultural Machine"/>
    <s v="CUST042"/>
    <s v="Ahmed Ibrahim"/>
    <d v="2025-04-16T00:00:00"/>
    <n v="4"/>
    <n v="680000"/>
    <n v="890000"/>
    <n v="3560000"/>
    <x v="1"/>
    <s v="Sadiq Bello"/>
    <x v="1"/>
    <n v="840000"/>
  </r>
  <r>
    <s v="SAL055"/>
    <s v="P072"/>
    <s v="Agricultural Equipment"/>
    <s v="CUST176"/>
    <s v="Funmilayo Akintola"/>
    <d v="2025-04-18T00:00:00"/>
    <n v="7"/>
    <n v="56000"/>
    <n v="85000"/>
    <n v="595000"/>
    <x v="1"/>
    <s v="Ebele Okoro"/>
    <x v="1"/>
    <n v="203000"/>
  </r>
  <r>
    <s v="SAL056"/>
    <s v="P023"/>
    <s v="Processing Equipment"/>
    <s v="CUST097"/>
    <s v="Obinna Nwosu"/>
    <d v="2025-04-06T00:00:00"/>
    <n v="16"/>
    <n v="360000"/>
    <n v="480000"/>
    <n v="7680000"/>
    <x v="1"/>
    <s v="Fatima Abdullahi"/>
    <x v="5"/>
    <n v="1920000"/>
  </r>
  <r>
    <s v="SAL057"/>
    <s v="P025"/>
    <s v="Storage Equipment"/>
    <s v="CUST240"/>
    <s v="Felix Johnson"/>
    <d v="2025-04-29T00:00:00"/>
    <n v="4"/>
    <n v="510000"/>
    <n v="690000"/>
    <n v="2760000"/>
    <x v="2"/>
    <s v="Olufemi Adewale"/>
    <x v="1"/>
    <n v="720000"/>
  </r>
  <r>
    <s v="SAL058"/>
    <s v="P005"/>
    <s v="Processing Equipment"/>
    <s v="CUST027"/>
    <s v="Victor Adekunle"/>
    <d v="2025-04-05T00:00:00"/>
    <n v="11"/>
    <n v="520000"/>
    <n v="680000"/>
    <n v="7480000"/>
    <x v="1"/>
    <s v="Olufemi Adewale"/>
    <x v="4"/>
    <n v="1760000"/>
  </r>
  <r>
    <s v="SAL059"/>
    <s v="P048"/>
    <s v="Processing Equipment"/>
    <s v="CUST135"/>
    <s v="Lilian Ajayi"/>
    <d v="2025-04-04T00:00:00"/>
    <n v="5"/>
    <n v="210000"/>
    <n v="295000"/>
    <n v="1475000"/>
    <x v="2"/>
    <s v="Ebele Okoro"/>
    <x v="3"/>
    <n v="425000"/>
  </r>
  <r>
    <s v="SAL060"/>
    <s v="P059"/>
    <s v="Power Equipment"/>
    <s v="CUST120"/>
    <s v="Usman Bello"/>
    <d v="2025-04-02T00:00:00"/>
    <n v="9"/>
    <n v="52000"/>
    <n v="78000"/>
    <n v="702000"/>
    <x v="1"/>
    <s v="Sadiq Bello"/>
    <x v="4"/>
    <n v="234000"/>
  </r>
  <r>
    <s v="SAL061"/>
    <s v="P034"/>
    <s v="Safety Equipment"/>
    <s v="CUST064"/>
    <s v="Lydia John"/>
    <d v="2025-04-21T00:00:00"/>
    <n v="12"/>
    <n v="12000"/>
    <n v="20000"/>
    <n v="240000"/>
    <x v="2"/>
    <s v="Sadiq Bello"/>
    <x v="1"/>
    <n v="96000"/>
  </r>
  <r>
    <s v="SAL062"/>
    <s v="P049"/>
    <s v="Storage Equipment"/>
    <s v="CUST086"/>
    <s v="Joy Alade"/>
    <d v="2025-04-29T00:00:00"/>
    <n v="6"/>
    <n v="340000"/>
    <n v="465000"/>
    <n v="2790000"/>
    <x v="0"/>
    <s v="Segun Ajayi"/>
    <x v="2"/>
    <n v="750000"/>
  </r>
  <r>
    <s v="SAL063"/>
    <s v="P094"/>
    <s v="Agricultural Equipment"/>
    <s v="CUST052"/>
    <s v="Adamu Bello"/>
    <d v="2025-04-28T00:00:00"/>
    <n v="1"/>
    <n v="42000"/>
    <n v="68000"/>
    <n v="68000"/>
    <x v="2"/>
    <s v="Olufemi Adewale"/>
    <x v="3"/>
    <n v="26000"/>
  </r>
  <r>
    <s v="SAL064"/>
    <s v="P050"/>
    <s v="Fabrication Tools"/>
    <s v="CUST156"/>
    <s v="Joy Uche"/>
    <d v="2025-04-14T00:00:00"/>
    <n v="7"/>
    <n v="98000"/>
    <n v="145000"/>
    <n v="1015000"/>
    <x v="0"/>
    <s v="Sadiq Bello"/>
    <x v="4"/>
    <n v="329000"/>
  </r>
  <r>
    <s v="SAL065"/>
    <s v="P096"/>
    <s v="Harvesting Equipment"/>
    <s v="CUST162"/>
    <s v="Salatu Abdullahi"/>
    <d v="2025-04-09T00:00:00"/>
    <n v="8"/>
    <n v="180000"/>
    <n v="250000"/>
    <n v="2000000"/>
    <x v="1"/>
    <s v="Ebele Okoro"/>
    <x v="4"/>
    <n v="560000"/>
  </r>
  <r>
    <s v="SAL066"/>
    <s v="P075"/>
    <s v="Processing Equipment"/>
    <s v="CUST153"/>
    <s v="Nneka Okeke"/>
    <d v="2025-04-23T00:00:00"/>
    <n v="2"/>
    <n v="125000"/>
    <n v="185000"/>
    <n v="370000"/>
    <x v="0"/>
    <s v="Fatima Abdullahi"/>
    <x v="0"/>
    <n v="120000"/>
  </r>
  <r>
    <s v="SAL067"/>
    <s v="P075"/>
    <s v="Processing Equipment"/>
    <s v="CUST049"/>
    <s v="Funke Adeyemi"/>
    <d v="2025-04-28T00:00:00"/>
    <n v="14"/>
    <n v="125000"/>
    <n v="185000"/>
    <n v="2590000"/>
    <x v="1"/>
    <s v="Ebele Okoro"/>
    <x v="5"/>
    <n v="840000"/>
  </r>
  <r>
    <s v="SAL068"/>
    <s v="P105"/>
    <s v="Agricultural Equipment"/>
    <s v="CUST050"/>
    <s v="Emeka Igbo"/>
    <d v="2025-04-01T00:00:00"/>
    <n v="16"/>
    <n v="26000"/>
    <n v="38000"/>
    <n v="608000"/>
    <x v="2"/>
    <s v="Fatima Abdullahi"/>
    <x v="5"/>
    <n v="192000"/>
  </r>
  <r>
    <s v="SAL069"/>
    <s v="P055"/>
    <s v="Processing Equipment"/>
    <s v="CUST224"/>
    <s v="Samuel Eze"/>
    <d v="2025-05-25T00:00:00"/>
    <n v="10"/>
    <n v="295000"/>
    <n v="410000"/>
    <n v="4100000"/>
    <x v="2"/>
    <s v="Ebele Okoro"/>
    <x v="4"/>
    <n v="1150000"/>
  </r>
  <r>
    <s v="SAL070"/>
    <s v="P039"/>
    <s v="Power Equipment"/>
    <s v="CUST149"/>
    <s v="Funke Adeyemi"/>
    <d v="2025-05-06T00:00:00"/>
    <n v="12"/>
    <n v="275000"/>
    <n v="380000"/>
    <n v="4560000"/>
    <x v="0"/>
    <s v="Amara Nwosu"/>
    <x v="3"/>
    <n v="1260000"/>
  </r>
  <r>
    <s v="SAL071"/>
    <s v="P076"/>
    <s v="Storage Equipment"/>
    <s v="CUST013"/>
    <s v="Peace Okeke"/>
    <d v="2025-05-10T00:00:00"/>
    <n v="18"/>
    <n v="40000"/>
    <n v="65000"/>
    <n v="1170000"/>
    <x v="0"/>
    <s v="Fatima Abdullahi"/>
    <x v="0"/>
    <n v="450000"/>
  </r>
  <r>
    <s v="SAL072"/>
    <s v="P001"/>
    <s v="Agricultural Machine"/>
    <s v="CUST021"/>
    <s v="Timileyin Afolabi"/>
    <d v="2025-05-09T00:00:00"/>
    <n v="12"/>
    <n v="120000"/>
    <n v="165000"/>
    <n v="1980000"/>
    <x v="1"/>
    <s v="Amara Nwosu"/>
    <x v="3"/>
    <n v="540000"/>
  </r>
  <r>
    <s v="SAL073"/>
    <s v="P065"/>
    <s v="Agricultural Machine"/>
    <s v="CUST112"/>
    <s v="Bashir Mohammed"/>
    <d v="2025-05-02T00:00:00"/>
    <n v="6"/>
    <n v="275000"/>
    <n v="385000"/>
    <n v="2310000"/>
    <x v="0"/>
    <s v="Fatima Abdullahi"/>
    <x v="3"/>
    <n v="660000"/>
  </r>
  <r>
    <s v="SAL074"/>
    <s v="P091"/>
    <s v="Power Equipment"/>
    <s v="CUST141"/>
    <s v="Kemi Olatunde"/>
    <d v="2025-05-19T00:00:00"/>
    <n v="10"/>
    <n v="68000"/>
    <n v="105000"/>
    <n v="1050000"/>
    <x v="2"/>
    <s v="Sadiq Bello"/>
    <x v="4"/>
    <n v="370000"/>
  </r>
  <r>
    <s v="SAL075"/>
    <s v="P008"/>
    <s v="Agricultural Equipment"/>
    <s v="CUST182"/>
    <s v="Oluwafunke Ayo"/>
    <d v="2025-05-29T00:00:00"/>
    <n v="10"/>
    <n v="15000"/>
    <n v="24000"/>
    <n v="240000"/>
    <x v="1"/>
    <s v="Amara Nwosu"/>
    <x v="1"/>
    <n v="90000"/>
  </r>
  <r>
    <s v="SAL076"/>
    <s v="P085"/>
    <s v="Storage Equipment"/>
    <s v="CUST027"/>
    <s v="Victor Adekunle"/>
    <d v="2025-05-06T00:00:00"/>
    <n v="16"/>
    <n v="38000"/>
    <n v="62000"/>
    <n v="992000"/>
    <x v="1"/>
    <s v="Amara Nwosu"/>
    <x v="3"/>
    <n v="384000"/>
  </r>
  <r>
    <s v="SAL077"/>
    <s v="P099"/>
    <s v="Agricultural Equipment"/>
    <s v="CUST102"/>
    <s v="Aisha Bello"/>
    <d v="2025-05-04T00:00:00"/>
    <n v="11"/>
    <n v="45000"/>
    <n v="70000"/>
    <n v="770000"/>
    <x v="2"/>
    <s v="Segun Ajayi"/>
    <x v="4"/>
    <n v="275000"/>
  </r>
  <r>
    <s v="SAL078"/>
    <s v="P014"/>
    <s v="Agricultural Machine"/>
    <s v="CUST036"/>
    <s v="Mohammed Lawal"/>
    <d v="2025-05-15T00:00:00"/>
    <n v="5"/>
    <n v="140000"/>
    <n v="195000"/>
    <n v="975000"/>
    <x v="1"/>
    <s v="Segun Ajayi"/>
    <x v="5"/>
    <n v="275000"/>
  </r>
  <r>
    <s v="SAL079"/>
    <s v="P094"/>
    <s v="Agricultural Equipment"/>
    <s v="CUST161"/>
    <s v="Oluwaseun Adebayo"/>
    <d v="2025-05-26T00:00:00"/>
    <n v="10"/>
    <n v="42000"/>
    <n v="68000"/>
    <n v="680000"/>
    <x v="2"/>
    <s v="Sadiq Bello"/>
    <x v="1"/>
    <n v="260000"/>
  </r>
  <r>
    <s v="SAL080"/>
    <s v="P092"/>
    <s v="Agricultural Equipment"/>
    <s v="CUST088"/>
    <s v="Chioma Ude"/>
    <d v="2025-05-03T00:00:00"/>
    <n v="16"/>
    <n v="115000"/>
    <n v="165000"/>
    <n v="2640000"/>
    <x v="0"/>
    <s v="Sadiq Bello"/>
    <x v="2"/>
    <n v="800000"/>
  </r>
  <r>
    <s v="SAL081"/>
    <s v="P070"/>
    <s v="Agricultural Structure"/>
    <s v="CUST168"/>
    <s v="Halimat Lawal"/>
    <d v="2025-05-31T00:00:00"/>
    <n v="15"/>
    <n v="145000"/>
    <n v="205000"/>
    <n v="3075000"/>
    <x v="0"/>
    <s v="Segun Ajayi"/>
    <x v="0"/>
    <n v="900000"/>
  </r>
  <r>
    <s v="SAL082"/>
    <s v="P096"/>
    <s v="Harvesting Equipment"/>
    <s v="CUST245"/>
    <s v="Aisha Suleman"/>
    <d v="2025-05-05T00:00:00"/>
    <n v="1"/>
    <n v="180000"/>
    <n v="250000"/>
    <n v="250000"/>
    <x v="0"/>
    <s v="Fatima Abdullahi"/>
    <x v="3"/>
    <n v="70000"/>
  </r>
  <r>
    <s v="SAL083"/>
    <s v="P053"/>
    <s v="Safety Equipment"/>
    <s v="CUST023"/>
    <s v="Emmanuel Nwachukwu"/>
    <d v="2025-05-07T00:00:00"/>
    <n v="17"/>
    <n v="22000"/>
    <n v="36000"/>
    <n v="612000"/>
    <x v="0"/>
    <s v="Segun Ajayi"/>
    <x v="4"/>
    <n v="238000"/>
  </r>
  <r>
    <s v="SAL084"/>
    <s v="P033"/>
    <s v="Fabrication Tools"/>
    <s v="CUST074"/>
    <s v="Hadiza Ali"/>
    <d v="2025-05-02T00:00:00"/>
    <n v="7"/>
    <n v="88000"/>
    <n v="125000"/>
    <n v="875000"/>
    <x v="1"/>
    <s v="Sadiq Bello"/>
    <x v="0"/>
    <n v="259000"/>
  </r>
  <r>
    <s v="SAL085"/>
    <s v="P040"/>
    <s v="Power Equipment"/>
    <s v="CUST197"/>
    <s v="Obinna Nwosu"/>
    <d v="2025-05-06T00:00:00"/>
    <n v="1"/>
    <n v="65000"/>
    <n v="95000"/>
    <n v="95000"/>
    <x v="2"/>
    <s v="Amara Nwosu"/>
    <x v="4"/>
    <n v="30000"/>
  </r>
  <r>
    <s v="SAL086"/>
    <s v="P099"/>
    <s v="Agricultural Equipment"/>
    <s v="CUST107"/>
    <s v="Sandra Adebayo"/>
    <d v="2025-06-09T00:00:00"/>
    <n v="6"/>
    <n v="45000"/>
    <n v="70000"/>
    <n v="420000"/>
    <x v="2"/>
    <s v="Fatima Abdullahi"/>
    <x v="0"/>
    <n v="150000"/>
  </r>
  <r>
    <s v="SAL087"/>
    <s v="P064"/>
    <s v="Storage Equipment"/>
    <s v="CUST035"/>
    <s v="Lilian Ajayi"/>
    <d v="2025-06-06T00:00:00"/>
    <n v="19"/>
    <n v="210000"/>
    <n v="295000"/>
    <n v="5605000"/>
    <x v="1"/>
    <s v="Olufemi Adewale"/>
    <x v="3"/>
    <n v="1615000"/>
  </r>
  <r>
    <s v="SAL088"/>
    <s v="P103"/>
    <s v="Agricultural Equipment"/>
    <s v="CUST183"/>
    <s v="Somtochukwu Eze"/>
    <d v="2025-06-29T00:00:00"/>
    <n v="19"/>
    <n v="12000"/>
    <n v="19000"/>
    <n v="361000"/>
    <x v="1"/>
    <s v="Fatima Abdullahi"/>
    <x v="5"/>
    <n v="133000"/>
  </r>
  <r>
    <s v="SAL089"/>
    <s v="P090"/>
    <s v="Industrial Equipment"/>
    <s v="CUST048"/>
    <s v="Chika Eze"/>
    <d v="2025-06-17T00:00:00"/>
    <n v="15"/>
    <n v="320000"/>
    <n v="450000"/>
    <n v="6750000"/>
    <x v="1"/>
    <s v="Fatima Abdullahi"/>
    <x v="5"/>
    <n v="1950000"/>
  </r>
  <r>
    <s v="SAL090"/>
    <s v="P002"/>
    <s v="Agricultural Machine"/>
    <s v="CUST249"/>
    <s v="Victoria Eze"/>
    <d v="2025-06-24T00:00:00"/>
    <n v="5"/>
    <n v="180000"/>
    <n v="245000"/>
    <n v="1225000"/>
    <x v="2"/>
    <s v="Segun Ajayi"/>
    <x v="1"/>
    <n v="325000"/>
  </r>
  <r>
    <s v="SAL091"/>
    <s v="P036"/>
    <s v="Safety Equipment"/>
    <s v="CUST031"/>
    <s v="Chukwuemeka Igwe"/>
    <d v="2025-06-25T00:00:00"/>
    <n v="15"/>
    <n v="7000"/>
    <n v="12000"/>
    <n v="180000"/>
    <x v="1"/>
    <s v="Sadiq Bello"/>
    <x v="4"/>
    <n v="75000"/>
  </r>
  <r>
    <s v="SAL092"/>
    <s v="P028"/>
    <s v="Agricultural Equipment"/>
    <s v="CUST111"/>
    <s v="Oluwatobi Akinola"/>
    <d v="2025-06-01T00:00:00"/>
    <n v="15"/>
    <n v="54000"/>
    <n v="82000"/>
    <n v="1230000"/>
    <x v="0"/>
    <s v="Amara Nwosu"/>
    <x v="4"/>
    <n v="420000"/>
  </r>
  <r>
    <s v="SAL093"/>
    <s v="P036"/>
    <s v="Safety Equipment"/>
    <s v="CUST139"/>
    <s v="Muhammad Sani"/>
    <d v="2025-06-24T00:00:00"/>
    <n v="13"/>
    <n v="7000"/>
    <n v="12000"/>
    <n v="156000"/>
    <x v="0"/>
    <s v="Amara Nwosu"/>
    <x v="5"/>
    <n v="65000"/>
  </r>
  <r>
    <s v="SAL094"/>
    <s v="P096"/>
    <s v="Harvesting Equipment"/>
    <s v="CUST086"/>
    <s v="Joy Alade"/>
    <d v="2025-06-07T00:00:00"/>
    <n v="13"/>
    <n v="180000"/>
    <n v="250000"/>
    <n v="3250000"/>
    <x v="2"/>
    <s v="Amara Nwosu"/>
    <x v="0"/>
    <n v="910000"/>
  </r>
  <r>
    <s v="SAL095"/>
    <s v="P007"/>
    <s v="Agricultural Equipment"/>
    <s v="CUST177"/>
    <s v="Sa’adu Muhammed"/>
    <d v="2025-06-07T00:00:00"/>
    <n v="17"/>
    <n v="18000"/>
    <n v="28000"/>
    <n v="476000"/>
    <x v="0"/>
    <s v="Sadiq Bello"/>
    <x v="4"/>
    <n v="170000"/>
  </r>
  <r>
    <s v="SAL096"/>
    <s v="P041"/>
    <s v="Agricultural Machine"/>
    <s v="CUST064"/>
    <s v="Lydia John"/>
    <d v="2025-06-08T00:00:00"/>
    <n v="11"/>
    <n v="155000"/>
    <n v="215000"/>
    <n v="2365000"/>
    <x v="1"/>
    <s v="Ebele Okoro"/>
    <x v="2"/>
    <n v="660000"/>
  </r>
  <r>
    <s v="SAL097"/>
    <s v="P003"/>
    <s v="Agricultural Machine"/>
    <s v="CUST208"/>
    <s v="Sophia Ade"/>
    <d v="2025-06-12T00:00:00"/>
    <n v="2"/>
    <n v="95000"/>
    <n v="135000"/>
    <n v="270000"/>
    <x v="0"/>
    <s v="Olufemi Adewale"/>
    <x v="1"/>
    <n v="80000"/>
  </r>
  <r>
    <s v="SAL098"/>
    <s v="P027"/>
    <s v="Agricultural Equipment"/>
    <s v="CUST206"/>
    <s v="Esther Chukwu"/>
    <d v="2025-06-12T00:00:00"/>
    <n v="3"/>
    <n v="125000"/>
    <n v="175000"/>
    <n v="525000"/>
    <x v="1"/>
    <s v="Segun Ajayi"/>
    <x v="1"/>
    <n v="150000"/>
  </r>
  <r>
    <s v="SAL099"/>
    <s v="P031"/>
    <s v="Industrial Equipment"/>
    <s v="CUST067"/>
    <s v="Tope Okunola"/>
    <d v="2025-06-11T00:00:00"/>
    <n v="1"/>
    <n v="185000"/>
    <n v="255000"/>
    <n v="255000"/>
    <x v="2"/>
    <s v="Ebele Okoro"/>
    <x v="5"/>
    <n v="70000"/>
  </r>
  <r>
    <s v="SAL100"/>
    <s v="P098"/>
    <s v="Processing Equipment"/>
    <s v="CUST012"/>
    <s v="Bashir Mohammed"/>
    <d v="2025-06-19T00:00:00"/>
    <n v="13"/>
    <n v="95000"/>
    <n v="145000"/>
    <n v="1885000"/>
    <x v="2"/>
    <s v="Sadiq Bello"/>
    <x v="5"/>
    <n v="650000"/>
  </r>
  <r>
    <s v="SAL101"/>
    <s v="P031"/>
    <s v="Industrial Equipment"/>
    <s v="CUST148"/>
    <s v="Chika Eze"/>
    <d v="2025-06-26T00:00:00"/>
    <n v="1"/>
    <n v="185000"/>
    <n v="255000"/>
    <n v="255000"/>
    <x v="1"/>
    <s v="Ebele Okoro"/>
    <x v="3"/>
    <n v="70000"/>
  </r>
  <r>
    <s v="SAL102"/>
    <s v="P090"/>
    <s v="Industrial Equipment"/>
    <s v="CUST227"/>
    <s v="Farouk Bello"/>
    <d v="2025-06-04T00:00:00"/>
    <n v="15"/>
    <n v="320000"/>
    <n v="450000"/>
    <n v="6750000"/>
    <x v="1"/>
    <s v="Olufemi Adewale"/>
    <x v="3"/>
    <n v="1950000"/>
  </r>
  <r>
    <s v="SAL103"/>
    <s v="P041"/>
    <s v="Agricultural Machine"/>
    <s v="CUST162"/>
    <s v="Salatu Abdullahi"/>
    <d v="2025-07-26T00:00:00"/>
    <n v="15"/>
    <n v="155000"/>
    <n v="215000"/>
    <n v="3225000"/>
    <x v="1"/>
    <s v="Amara Nwosu"/>
    <x v="5"/>
    <n v="900000"/>
  </r>
  <r>
    <s v="SAL104"/>
    <s v="P087"/>
    <s v="Agricultural Machine"/>
    <s v="CUST024"/>
    <s v="Halimat Taiwo"/>
    <d v="2025-07-16T00:00:00"/>
    <n v="12"/>
    <n v="98000"/>
    <n v="145000"/>
    <n v="1740000"/>
    <x v="0"/>
    <s v="Olufemi Adewale"/>
    <x v="5"/>
    <n v="564000"/>
  </r>
  <r>
    <s v="SAL105"/>
    <s v="P072"/>
    <s v="Agricultural Equipment"/>
    <s v="CUST164"/>
    <s v="Lydia John"/>
    <d v="2025-07-26T00:00:00"/>
    <n v="4"/>
    <n v="56000"/>
    <n v="85000"/>
    <n v="340000"/>
    <x v="0"/>
    <s v="Segun Ajayi"/>
    <x v="0"/>
    <n v="116000"/>
  </r>
  <r>
    <s v="SAL106"/>
    <s v="P044"/>
    <s v="Storage Equipment"/>
    <s v="CUST024"/>
    <s v="Halimat Taiwo"/>
    <d v="2025-07-16T00:00:00"/>
    <n v="19"/>
    <n v="38000"/>
    <n v="58000"/>
    <n v="1102000"/>
    <x v="2"/>
    <s v="Sadiq Bello"/>
    <x v="5"/>
    <n v="380000"/>
  </r>
  <r>
    <s v="SAL107"/>
    <s v="P078"/>
    <s v="Industrial Equipment"/>
    <s v="CUST087"/>
    <s v="Suleiman Ahmed"/>
    <d v="2025-07-23T00:00:00"/>
    <n v="17"/>
    <n v="65000"/>
    <n v="85000"/>
    <n v="1445000"/>
    <x v="0"/>
    <s v="Fatima Abdullahi"/>
    <x v="4"/>
    <n v="340000"/>
  </r>
  <r>
    <s v="SAL108"/>
    <s v="P012"/>
    <s v="Agricultural Equipment"/>
    <s v="CUST249"/>
    <s v="Victoria Eze"/>
    <d v="2025-07-15T00:00:00"/>
    <n v="9"/>
    <n v="42000"/>
    <n v="65000"/>
    <n v="585000"/>
    <x v="1"/>
    <s v="Olufemi Adewale"/>
    <x v="0"/>
    <n v="207000"/>
  </r>
  <r>
    <s v="SAL109"/>
    <s v="P021"/>
    <s v="Agricultural Equipment"/>
    <s v="CUST155"/>
    <s v="Daniel Peter"/>
    <d v="2025-07-16T00:00:00"/>
    <n v="4"/>
    <n v="28000"/>
    <n v="42000"/>
    <n v="168000"/>
    <x v="1"/>
    <s v="Segun Ajayi"/>
    <x v="2"/>
    <n v="56000"/>
  </r>
  <r>
    <s v="SAL110"/>
    <s v="P100"/>
    <s v="Agricultural Equipment"/>
    <s v="CUST071"/>
    <s v="Ayodele Akin"/>
    <d v="2025-07-21T00:00:00"/>
    <n v="12"/>
    <n v="120000"/>
    <n v="180000"/>
    <n v="2160000"/>
    <x v="1"/>
    <s v="Fatima Abdullahi"/>
    <x v="2"/>
    <n v="720000"/>
  </r>
  <r>
    <s v="SAL111"/>
    <s v="P075"/>
    <s v="Processing Equipment"/>
    <s v="CUST069"/>
    <s v="Chukwu David"/>
    <d v="2025-07-17T00:00:00"/>
    <n v="11"/>
    <n v="125000"/>
    <n v="185000"/>
    <n v="2035000"/>
    <x v="0"/>
    <s v="Segun Ajayi"/>
    <x v="3"/>
    <n v="660000"/>
  </r>
  <r>
    <s v="SAL112"/>
    <s v="P099"/>
    <s v="Agricultural Equipment"/>
    <s v="CUST033"/>
    <s v="Halima Abdullahi"/>
    <d v="2025-07-24T00:00:00"/>
    <n v="6"/>
    <n v="45000"/>
    <n v="70000"/>
    <n v="420000"/>
    <x v="0"/>
    <s v="Fatima Abdullahi"/>
    <x v="3"/>
    <n v="150000"/>
  </r>
  <r>
    <s v="SAL113"/>
    <s v="P012"/>
    <s v="Agricultural Equipment"/>
    <s v="CUST035"/>
    <s v="Lilian Ajayi"/>
    <d v="2025-07-10T00:00:00"/>
    <n v="19"/>
    <n v="42000"/>
    <n v="65000"/>
    <n v="1235000"/>
    <x v="1"/>
    <s v="Amara Nwosu"/>
    <x v="1"/>
    <n v="437000"/>
  </r>
  <r>
    <s v="SAL114"/>
    <s v="P017"/>
    <s v="Agricultural Machine"/>
    <s v="CUST161"/>
    <s v="Oluwaseun Adebayo"/>
    <d v="2025-07-17T00:00:00"/>
    <n v="1"/>
    <n v="680000"/>
    <n v="890000"/>
    <n v="890000"/>
    <x v="1"/>
    <s v="Ebele Okoro"/>
    <x v="4"/>
    <n v="210000"/>
  </r>
  <r>
    <s v="SAL115"/>
    <s v="P055"/>
    <s v="Processing Equipment"/>
    <s v="CUST119"/>
    <s v="Ifunanya Obi"/>
    <d v="2025-07-02T00:00:00"/>
    <n v="8"/>
    <n v="295000"/>
    <n v="410000"/>
    <n v="3280000"/>
    <x v="2"/>
    <s v="Olufemi Adewale"/>
    <x v="2"/>
    <n v="920000"/>
  </r>
  <r>
    <s v="SAL116"/>
    <s v="P102"/>
    <s v="Industrial Equipment"/>
    <s v="CUST190"/>
    <s v="Ebere Okoro"/>
    <d v="2025-07-06T00:00:00"/>
    <n v="3"/>
    <n v="18000"/>
    <n v="27000"/>
    <n v="81000"/>
    <x v="1"/>
    <s v="Olufemi Adewale"/>
    <x v="4"/>
    <n v="27000"/>
  </r>
  <r>
    <s v="SAL117"/>
    <s v="P028"/>
    <s v="Agricultural Equipment"/>
    <s v="CUST075"/>
    <s v="Ahmed Yusuf"/>
    <d v="2025-07-07T00:00:00"/>
    <n v="1"/>
    <n v="54000"/>
    <n v="82000"/>
    <n v="82000"/>
    <x v="2"/>
    <s v="Fatima Abdullahi"/>
    <x v="1"/>
    <n v="28000"/>
  </r>
  <r>
    <s v="SAL118"/>
    <s v="P080"/>
    <s v="Power Equipment"/>
    <s v="CUST116"/>
    <s v="Racheal John"/>
    <d v="2025-07-09T00:00:00"/>
    <n v="7"/>
    <n v="35000"/>
    <n v="56000"/>
    <n v="392000"/>
    <x v="2"/>
    <s v="Ebele Okoro"/>
    <x v="4"/>
    <n v="147000"/>
  </r>
  <r>
    <s v="SAL119"/>
    <s v="P022"/>
    <s v="Agricultural Equipment"/>
    <s v="CUST178"/>
    <s v="Barakat Lawal"/>
    <d v="2025-07-08T00:00:00"/>
    <n v="18"/>
    <n v="32000"/>
    <n v="48000"/>
    <n v="864000"/>
    <x v="1"/>
    <s v="Ebele Okoro"/>
    <x v="4"/>
    <n v="288000"/>
  </r>
  <r>
    <s v="SAL120"/>
    <s v="P058"/>
    <s v="Power Equipment"/>
    <s v="CUST179"/>
    <s v="Blessing Egwu"/>
    <d v="2025-08-23T00:00:00"/>
    <n v="2"/>
    <n v="29000"/>
    <n v="46000"/>
    <n v="92000"/>
    <x v="0"/>
    <s v="Segun Ajayi"/>
    <x v="5"/>
    <n v="34000"/>
  </r>
  <r>
    <s v="SAL121"/>
    <s v="P057"/>
    <s v="Agricultural Equipment"/>
    <s v="CUST213"/>
    <s v="Comfort Eze"/>
    <d v="2025-08-17T00:00:00"/>
    <n v="16"/>
    <n v="68000"/>
    <n v="105000"/>
    <n v="1680000"/>
    <x v="1"/>
    <s v="Segun Ajayi"/>
    <x v="4"/>
    <n v="592000"/>
  </r>
  <r>
    <s v="SAL122"/>
    <s v="P059"/>
    <s v="Power Equipment"/>
    <s v="CUST024"/>
    <s v="Halimat Taiwo"/>
    <d v="2025-08-14T00:00:00"/>
    <n v="13"/>
    <n v="52000"/>
    <n v="78000"/>
    <n v="1014000"/>
    <x v="2"/>
    <s v="Fatima Abdullahi"/>
    <x v="1"/>
    <n v="338000"/>
  </r>
  <r>
    <s v="SAL123"/>
    <s v="P070"/>
    <s v="Agricultural Structure"/>
    <s v="CUST089"/>
    <s v="Abubakar Sani"/>
    <d v="2025-08-16T00:00:00"/>
    <n v="1"/>
    <n v="145000"/>
    <n v="205000"/>
    <n v="205000"/>
    <x v="1"/>
    <s v="Segun Ajayi"/>
    <x v="0"/>
    <n v="60000"/>
  </r>
  <r>
    <s v="SAL124"/>
    <s v="P025"/>
    <s v="Storage Equipment"/>
    <s v="CUST161"/>
    <s v="Oluwaseun Adebayo"/>
    <d v="2025-08-28T00:00:00"/>
    <n v="17"/>
    <n v="510000"/>
    <n v="690000"/>
    <n v="11730000"/>
    <x v="0"/>
    <s v="Segun Ajayi"/>
    <x v="0"/>
    <n v="3060000"/>
  </r>
  <r>
    <s v="SAL125"/>
    <s v="P101"/>
    <s v="Agriculture Equipment"/>
    <s v="CUST224"/>
    <s v="Samuel Eze"/>
    <d v="2025-08-29T00:00:00"/>
    <n v="18"/>
    <n v="9000"/>
    <n v="15000"/>
    <n v="270000"/>
    <x v="0"/>
    <s v="Fatima Abdullahi"/>
    <x v="5"/>
    <n v="108000"/>
  </r>
  <r>
    <s v="SAL126"/>
    <s v="P048"/>
    <s v="Processing Equipment"/>
    <s v="CUST152"/>
    <s v="Adamu Bello"/>
    <d v="2025-08-20T00:00:00"/>
    <n v="6"/>
    <n v="210000"/>
    <n v="295000"/>
    <n v="1770000"/>
    <x v="1"/>
    <s v="Segun Ajayi"/>
    <x v="1"/>
    <n v="510000"/>
  </r>
  <r>
    <s v="SAL127"/>
    <s v="P103"/>
    <s v="Agricultural Equipment"/>
    <s v="CUST156"/>
    <s v="Joy Uche"/>
    <d v="2025-08-18T00:00:00"/>
    <n v="2"/>
    <n v="12000"/>
    <n v="19000"/>
    <n v="38000"/>
    <x v="1"/>
    <s v="Amara Nwosu"/>
    <x v="5"/>
    <n v="14000"/>
  </r>
  <r>
    <s v="SAL128"/>
    <s v="P028"/>
    <s v="Agricultural Equipment"/>
    <s v="CUST104"/>
    <s v="Halima Musa"/>
    <d v="2025-08-20T00:00:00"/>
    <n v="18"/>
    <n v="54000"/>
    <n v="82000"/>
    <n v="1476000"/>
    <x v="2"/>
    <s v="Segun Ajayi"/>
    <x v="2"/>
    <n v="504000"/>
  </r>
  <r>
    <s v="SAL129"/>
    <s v="P056"/>
    <s v="Processing Equipment"/>
    <s v="CUST148"/>
    <s v="Chika Eze"/>
    <d v="2025-08-09T00:00:00"/>
    <n v="12"/>
    <n v="410000"/>
    <n v="560000"/>
    <n v="6720000"/>
    <x v="2"/>
    <s v="Amara Nwosu"/>
    <x v="0"/>
    <n v="1800000"/>
  </r>
  <r>
    <s v="SAL130"/>
    <s v="P100"/>
    <s v="Agricultural Equipment"/>
    <s v="CUST238"/>
    <s v="Bukola Adeyemi"/>
    <d v="2025-08-26T00:00:00"/>
    <n v="18"/>
    <n v="120000"/>
    <n v="180000"/>
    <n v="3240000"/>
    <x v="1"/>
    <s v="Olufemi Adewale"/>
    <x v="4"/>
    <n v="1080000"/>
  </r>
  <r>
    <s v="SAL131"/>
    <s v="P083"/>
    <s v="Agricultural Equipment"/>
    <s v="CUST239"/>
    <s v="Chinaza Eze"/>
    <d v="2025-08-15T00:00:00"/>
    <n v="1"/>
    <n v="8500"/>
    <n v="15000"/>
    <n v="15000"/>
    <x v="0"/>
    <s v="Segun Ajayi"/>
    <x v="4"/>
    <n v="6500"/>
  </r>
  <r>
    <s v="SAL132"/>
    <s v="P089"/>
    <s v="Agricultural Equipment"/>
    <s v="CUST165"/>
    <s v="Aliyu Yusuf"/>
    <d v="2025-08-11T00:00:00"/>
    <n v="17"/>
    <n v="210000"/>
    <n v="295000"/>
    <n v="5015000"/>
    <x v="0"/>
    <s v="Segun Ajayi"/>
    <x v="3"/>
    <n v="1445000"/>
  </r>
  <r>
    <s v="SAL133"/>
    <s v="P032"/>
    <s v="Industrial Equipment"/>
    <s v="CUST130"/>
    <s v="Esther Peter"/>
    <d v="2025-08-04T00:00:00"/>
    <n v="17"/>
    <n v="210000"/>
    <n v="295000"/>
    <n v="5015000"/>
    <x v="2"/>
    <s v="Ebele Okoro"/>
    <x v="1"/>
    <n v="1445000"/>
  </r>
  <r>
    <s v="SAL134"/>
    <s v="P088"/>
    <s v="Processing Equipment"/>
    <s v="CUST024"/>
    <s v="Halimat Taiwo"/>
    <d v="2025-08-25T00:00:00"/>
    <n v="9"/>
    <n v="275000"/>
    <n v="385000"/>
    <n v="3465000"/>
    <x v="2"/>
    <s v="Sadiq Bello"/>
    <x v="3"/>
    <n v="990000"/>
  </r>
  <r>
    <s v="SAL135"/>
    <s v="P002"/>
    <s v="Agricultural Machine"/>
    <s v="CUST174"/>
    <s v="Hadiza Ali"/>
    <d v="2025-08-16T00:00:00"/>
    <n v="2"/>
    <n v="180000"/>
    <n v="245000"/>
    <n v="490000"/>
    <x v="0"/>
    <s v="Ebele Okoro"/>
    <x v="4"/>
    <n v="130000"/>
  </r>
  <r>
    <s v="SAL136"/>
    <s v="P026"/>
    <s v="Agricultural Equipment"/>
    <s v="CUST175"/>
    <s v="Ahmed Yusuf"/>
    <d v="2025-08-16T00:00:00"/>
    <n v="2"/>
    <n v="98000"/>
    <n v="145000"/>
    <n v="290000"/>
    <x v="0"/>
    <s v="Segun Ajayi"/>
    <x v="0"/>
    <n v="94000"/>
  </r>
  <r>
    <s v="SAL137"/>
    <s v="P061"/>
    <s v="Agricultural Equipment"/>
    <s v="CUST064"/>
    <s v="Lydia John"/>
    <d v="2025-09-21T00:00:00"/>
    <n v="7"/>
    <n v="18500"/>
    <n v="29500"/>
    <n v="206500"/>
    <x v="0"/>
    <s v="Segun Ajayi"/>
    <x v="1"/>
    <n v="77000"/>
  </r>
  <r>
    <s v="SAL138"/>
    <s v="P044"/>
    <s v="Storage Equipment"/>
    <s v="CUST222"/>
    <s v="Jide Adekunle"/>
    <d v="2025-09-05T00:00:00"/>
    <n v="9"/>
    <n v="38000"/>
    <n v="58000"/>
    <n v="522000"/>
    <x v="1"/>
    <s v="Segun Ajayi"/>
    <x v="3"/>
    <n v="180000"/>
  </r>
  <r>
    <s v="SAL139"/>
    <s v="P003"/>
    <s v="Agricultural Machine"/>
    <s v="CUST183"/>
    <s v="Somtochukwu Eze"/>
    <d v="2025-09-28T00:00:00"/>
    <n v="20"/>
    <n v="95000"/>
    <n v="135000"/>
    <n v="2700000"/>
    <x v="0"/>
    <s v="Ebele Okoro"/>
    <x v="5"/>
    <n v="800000"/>
  </r>
  <r>
    <s v="SAL140"/>
    <s v="P037"/>
    <s v="Agricultural Machine"/>
    <s v="CUST142"/>
    <s v="Ahmed Ibrahim"/>
    <d v="2025-09-14T00:00:00"/>
    <n v="7"/>
    <n v="620000"/>
    <n v="820000"/>
    <n v="5740000"/>
    <x v="0"/>
    <s v="Sadiq Bello"/>
    <x v="5"/>
    <n v="1400000"/>
  </r>
  <r>
    <s v="SAL141"/>
    <s v="P099"/>
    <s v="Agricultural Equipment"/>
    <s v="CUST217"/>
    <s v="Lawrence Okoro"/>
    <d v="2025-09-14T00:00:00"/>
    <n v="11"/>
    <n v="45000"/>
    <n v="70000"/>
    <n v="770000"/>
    <x v="1"/>
    <s v="Segun Ajayi"/>
    <x v="0"/>
    <n v="275000"/>
  </r>
  <r>
    <s v="SAL142"/>
    <s v="P006"/>
    <s v="Agricultural Equipment"/>
    <s v="CUST238"/>
    <s v="Bukola Adeyemi"/>
    <d v="2025-09-22T00:00:00"/>
    <n v="5"/>
    <n v="260000"/>
    <n v="345000"/>
    <n v="1725000"/>
    <x v="2"/>
    <s v="Olufemi Adewale"/>
    <x v="1"/>
    <n v="425000"/>
  </r>
  <r>
    <s v="SAL143"/>
    <s v="P094"/>
    <s v="Agricultural Equipment"/>
    <s v="CUST067"/>
    <s v="Tope Okunola"/>
    <d v="2025-09-03T00:00:00"/>
    <n v="10"/>
    <n v="42000"/>
    <n v="68000"/>
    <n v="680000"/>
    <x v="2"/>
    <s v="Ebele Okoro"/>
    <x v="1"/>
    <n v="260000"/>
  </r>
  <r>
    <s v="SAL144"/>
    <s v="P037"/>
    <s v="Agricultural Machine"/>
    <s v="CUST140"/>
    <s v="Joy Okafor"/>
    <d v="2025-09-28T00:00:00"/>
    <n v="14"/>
    <n v="620000"/>
    <n v="820000"/>
    <n v="11480000"/>
    <x v="1"/>
    <s v="Sadiq Bello"/>
    <x v="0"/>
    <n v="2800000"/>
  </r>
  <r>
    <s v="SAL145"/>
    <s v="P040"/>
    <s v="Power Equipment"/>
    <s v="CUST224"/>
    <s v="Samuel Eze"/>
    <d v="2025-09-24T00:00:00"/>
    <n v="7"/>
    <n v="65000"/>
    <n v="95000"/>
    <n v="665000"/>
    <x v="2"/>
    <s v="Fatima Abdullahi"/>
    <x v="4"/>
    <n v="210000"/>
  </r>
  <r>
    <s v="SAL146"/>
    <s v="P008"/>
    <s v="Agricultural Equipment"/>
    <s v="CUST152"/>
    <s v="Adamu Bello"/>
    <d v="2025-09-18T00:00:00"/>
    <n v="8"/>
    <n v="15000"/>
    <n v="24000"/>
    <n v="192000"/>
    <x v="0"/>
    <s v="Segun Ajayi"/>
    <x v="3"/>
    <n v="72000"/>
  </r>
  <r>
    <s v="SAL147"/>
    <s v="P063"/>
    <s v="Agricultural Equipment"/>
    <s v="CUST123"/>
    <s v="Emmanuel Nwachukwu"/>
    <d v="2025-09-16T00:00:00"/>
    <n v="12"/>
    <n v="12000"/>
    <n v="20000"/>
    <n v="240000"/>
    <x v="1"/>
    <s v="Olufemi Adewale"/>
    <x v="0"/>
    <n v="96000"/>
  </r>
  <r>
    <s v="SAL148"/>
    <s v="P025"/>
    <s v="Storage Equipment"/>
    <s v="CUST229"/>
    <s v="Simon Peter"/>
    <d v="2025-09-25T00:00:00"/>
    <n v="15"/>
    <n v="510000"/>
    <n v="690000"/>
    <n v="10350000"/>
    <x v="1"/>
    <s v="Olufemi Adewale"/>
    <x v="3"/>
    <n v="2700000"/>
  </r>
  <r>
    <s v="SAL149"/>
    <s v="P093"/>
    <s v="Processing Equipment"/>
    <s v="CUST194"/>
    <s v="Amina Musa"/>
    <d v="2025-09-14T00:00:00"/>
    <n v="14"/>
    <n v="85000"/>
    <n v="130000"/>
    <n v="1820000"/>
    <x v="1"/>
    <s v="Sadiq Bello"/>
    <x v="4"/>
    <n v="630000"/>
  </r>
  <r>
    <s v="SAL150"/>
    <s v="P090"/>
    <s v="Industrial Equipment"/>
    <s v="CUST069"/>
    <s v="Chukwu David"/>
    <d v="2025-09-10T00:00:00"/>
    <n v="3"/>
    <n v="320000"/>
    <n v="450000"/>
    <n v="1350000"/>
    <x v="0"/>
    <s v="Segun Ajayi"/>
    <x v="4"/>
    <n v="390000"/>
  </r>
  <r>
    <s v="SAL151"/>
    <s v="P048"/>
    <s v="Processing Equipment"/>
    <s v="CUST013"/>
    <s v="Peace Okeke"/>
    <d v="2025-09-26T00:00:00"/>
    <n v="6"/>
    <n v="210000"/>
    <n v="295000"/>
    <n v="1770000"/>
    <x v="2"/>
    <s v="Amara Nwosu"/>
    <x v="4"/>
    <n v="510000"/>
  </r>
  <r>
    <s v="SAL152"/>
    <s v="P035"/>
    <s v="Safety Equipment"/>
    <s v="CUST028"/>
    <s v="Hauwa Ali"/>
    <d v="2025-09-25T00:00:00"/>
    <n v="19"/>
    <n v="4500"/>
    <n v="8500"/>
    <n v="161500"/>
    <x v="2"/>
    <s v="Segun Ajayi"/>
    <x v="5"/>
    <n v="76000"/>
  </r>
  <r>
    <s v="SAL153"/>
    <s v="P104"/>
    <s v="Storage Equipment"/>
    <s v="CUST210"/>
    <s v="Ruth Esther"/>
    <d v="2025-09-30T00:00:00"/>
    <n v="13"/>
    <n v="140000"/>
    <n v="195000"/>
    <n v="2535000"/>
    <x v="1"/>
    <s v="Amara Nwosu"/>
    <x v="1"/>
    <n v="715000"/>
  </r>
  <r>
    <s v="SAL154"/>
    <s v="P079"/>
    <s v="Industrial Equipment"/>
    <s v="CUST202"/>
    <s v="Daniel Musa"/>
    <d v="2025-10-24T00:00:00"/>
    <n v="7"/>
    <n v="42000"/>
    <n v="68000"/>
    <n v="476000"/>
    <x v="0"/>
    <s v="Sadiq Bello"/>
    <x v="2"/>
    <n v="182000"/>
  </r>
  <r>
    <s v="SAL155"/>
    <s v="P015"/>
    <s v="Agricultural Machine"/>
    <s v="CUST016"/>
    <s v="Racheal John"/>
    <d v="2025-10-24T00:00:00"/>
    <n v="17"/>
    <n v="225000"/>
    <n v="310000"/>
    <n v="5270000"/>
    <x v="0"/>
    <s v="Fatima Abdullahi"/>
    <x v="3"/>
    <n v="1445000"/>
  </r>
  <r>
    <s v="SAL156"/>
    <s v="P035"/>
    <s v="Safety Equipment"/>
    <s v="CUST058"/>
    <s v="Chinelo Okafor"/>
    <d v="2025-10-04T00:00:00"/>
    <n v="7"/>
    <n v="4500"/>
    <n v="8500"/>
    <n v="59500"/>
    <x v="0"/>
    <s v="Ebele Okoro"/>
    <x v="5"/>
    <n v="28000"/>
  </r>
  <r>
    <s v="SAL157"/>
    <s v="P074"/>
    <s v="Agricultural Equipment"/>
    <s v="CUST210"/>
    <s v="Ruth Esther"/>
    <d v="2025-10-10T00:00:00"/>
    <n v="4"/>
    <n v="88000"/>
    <n v="130000"/>
    <n v="520000"/>
    <x v="0"/>
    <s v="Amara Nwosu"/>
    <x v="2"/>
    <n v="168000"/>
  </r>
  <r>
    <s v="SAL158"/>
    <s v="P025"/>
    <s v="Storage Equipment"/>
    <s v="CUST023"/>
    <s v="Emmanuel Nwachukwu"/>
    <d v="2025-10-21T00:00:00"/>
    <n v="12"/>
    <n v="510000"/>
    <n v="690000"/>
    <n v="8280000"/>
    <x v="2"/>
    <s v="Segun Ajayi"/>
    <x v="2"/>
    <n v="2160000"/>
  </r>
  <r>
    <s v="SAL159"/>
    <s v="P035"/>
    <s v="Safety Equipment"/>
    <s v="CUST226"/>
    <s v="Hope Chukwu"/>
    <d v="2025-10-21T00:00:00"/>
    <n v="19"/>
    <n v="4500"/>
    <n v="8500"/>
    <n v="161500"/>
    <x v="1"/>
    <s v="Ebele Okoro"/>
    <x v="0"/>
    <n v="76000"/>
  </r>
  <r>
    <s v="SAL160"/>
    <s v="P031"/>
    <s v="Industrial Equipment"/>
    <s v="CUST210"/>
    <s v="Ruth Esther"/>
    <d v="2025-10-14T00:00:00"/>
    <n v="5"/>
    <n v="185000"/>
    <n v="255000"/>
    <n v="1275000"/>
    <x v="1"/>
    <s v="Olufemi Adewale"/>
    <x v="4"/>
    <n v="350000"/>
  </r>
  <r>
    <s v="SAL161"/>
    <s v="P079"/>
    <s v="Industrial Equipment"/>
    <s v="CUST210"/>
    <s v="Ruth Esther"/>
    <d v="2025-10-22T00:00:00"/>
    <n v="20"/>
    <n v="42000"/>
    <n v="68000"/>
    <n v="1360000"/>
    <x v="0"/>
    <s v="Amara Nwosu"/>
    <x v="4"/>
    <n v="520000"/>
  </r>
  <r>
    <s v="SAL162"/>
    <s v="P020"/>
    <s v="Storage Equipment"/>
    <s v="CUST109"/>
    <s v="Adetola Williams"/>
    <d v="2025-10-20T00:00:00"/>
    <n v="1"/>
    <n v="450000"/>
    <n v="610000"/>
    <n v="610000"/>
    <x v="1"/>
    <s v="Amara Nwosu"/>
    <x v="3"/>
    <n v="160000"/>
  </r>
  <r>
    <s v="SAL163"/>
    <s v="P066"/>
    <s v="Energy Equipment"/>
    <s v="CUST042"/>
    <s v="Ahmed Ibrahim"/>
    <d v="2025-10-31T00:00:00"/>
    <n v="5"/>
    <n v="480000"/>
    <n v="650000"/>
    <n v="3250000"/>
    <x v="0"/>
    <s v="Olufemi Adewale"/>
    <x v="4"/>
    <n v="850000"/>
  </r>
  <r>
    <s v="SAL164"/>
    <s v="P010"/>
    <s v="Processing Equipment"/>
    <s v="CUST163"/>
    <s v="Benedict Eze"/>
    <d v="2025-10-08T00:00:00"/>
    <n v="10"/>
    <n v="310000"/>
    <n v="420000"/>
    <n v="4200000"/>
    <x v="1"/>
    <s v="Sadiq Bello"/>
    <x v="0"/>
    <n v="1100000"/>
  </r>
  <r>
    <s v="SAL165"/>
    <s v="P081"/>
    <s v="Fabrication Tools"/>
    <s v="CUST246"/>
    <s v="Olalekan Akin"/>
    <d v="2025-10-09T00:00:00"/>
    <n v="14"/>
    <n v="22000"/>
    <n v="36000"/>
    <n v="504000"/>
    <x v="2"/>
    <s v="Segun Ajayi"/>
    <x v="0"/>
    <n v="196000"/>
  </r>
  <r>
    <s v="SAL166"/>
    <s v="P086"/>
    <s v="Agricultural Machine"/>
    <s v="CUST193"/>
    <s v="Joyce Eze"/>
    <d v="2025-10-19T00:00:00"/>
    <n v="1"/>
    <n v="165000"/>
    <n v="235000"/>
    <n v="235000"/>
    <x v="1"/>
    <s v="Ebele Okoro"/>
    <x v="1"/>
    <n v="70000"/>
  </r>
  <r>
    <s v="SAL167"/>
    <s v="P045"/>
    <s v="Agricultural Equipment"/>
    <s v="CUST207"/>
    <s v="Patrick Adebayo"/>
    <d v="2025-10-12T00:00:00"/>
    <n v="10"/>
    <n v="42000"/>
    <n v="65000"/>
    <n v="650000"/>
    <x v="2"/>
    <s v="Ebele Okoro"/>
    <x v="3"/>
    <n v="230000"/>
  </r>
  <r>
    <s v="SAL168"/>
    <s v="P055"/>
    <s v="Processing Equipment"/>
    <s v="CUST041"/>
    <s v="Kemi Olatunde"/>
    <d v="2025-10-18T00:00:00"/>
    <n v="7"/>
    <n v="295000"/>
    <n v="410000"/>
    <n v="2870000"/>
    <x v="1"/>
    <s v="Segun Ajayi"/>
    <x v="4"/>
    <n v="805000"/>
  </r>
  <r>
    <s v="SAL169"/>
    <s v="P096"/>
    <s v="Harvesting Equipment"/>
    <s v="CUST016"/>
    <s v="Racheal John"/>
    <d v="2025-10-02T00:00:00"/>
    <n v="14"/>
    <n v="180000"/>
    <n v="250000"/>
    <n v="3500000"/>
    <x v="0"/>
    <s v="Olufemi Adewale"/>
    <x v="4"/>
    <n v="980000"/>
  </r>
  <r>
    <s v="SAL170"/>
    <s v="P094"/>
    <s v="Agricultural Equipment"/>
    <s v="CUST055"/>
    <s v="Daniel Peter"/>
    <d v="2025-10-17T00:00:00"/>
    <n v="10"/>
    <n v="42000"/>
    <n v="68000"/>
    <n v="680000"/>
    <x v="0"/>
    <s v="Ebele Okoro"/>
    <x v="2"/>
    <n v="260000"/>
  </r>
  <r>
    <s v="SAL171"/>
    <s v="P077"/>
    <s v="Fabrication Tools"/>
    <s v="CUST061"/>
    <s v="Oluwaseun Adebayo"/>
    <d v="2025-11-30T00:00:00"/>
    <n v="10"/>
    <n v="28000"/>
    <n v="45000"/>
    <n v="450000"/>
    <x v="1"/>
    <s v="Segun Ajayi"/>
    <x v="1"/>
    <n v="170000"/>
  </r>
  <r>
    <s v="SAL172"/>
    <s v="P099"/>
    <s v="Agricultural Equipment"/>
    <s v="CUST091"/>
    <s v="Ify Obi"/>
    <d v="2025-11-26T00:00:00"/>
    <n v="8"/>
    <n v="45000"/>
    <n v="70000"/>
    <n v="560000"/>
    <x v="2"/>
    <s v="Fatima Abdullahi"/>
    <x v="3"/>
    <n v="200000"/>
  </r>
  <r>
    <s v="SAL173"/>
    <s v="P009"/>
    <s v="Agricultural Equipment"/>
    <s v="CUST196"/>
    <s v="Habibat Bello"/>
    <d v="2025-11-20T00:00:00"/>
    <n v="7"/>
    <n v="135000"/>
    <n v="185000"/>
    <n v="1295000"/>
    <x v="2"/>
    <s v="Fatima Abdullahi"/>
    <x v="2"/>
    <n v="350000"/>
  </r>
  <r>
    <s v="SAL174"/>
    <s v="P033"/>
    <s v="Fabrication Tools"/>
    <s v="CUST186"/>
    <s v="Joy Alade"/>
    <d v="2025-11-02T00:00:00"/>
    <n v="20"/>
    <n v="88000"/>
    <n v="125000"/>
    <n v="2500000"/>
    <x v="1"/>
    <s v="Amara Nwosu"/>
    <x v="5"/>
    <n v="740000"/>
  </r>
  <r>
    <s v="SAL175"/>
    <s v="P064"/>
    <s v="Storage Equipment"/>
    <s v="CUST156"/>
    <s v="Joy Uche"/>
    <d v="2025-11-10T00:00:00"/>
    <n v="2"/>
    <n v="210000"/>
    <n v="295000"/>
    <n v="590000"/>
    <x v="2"/>
    <s v="Segun Ajayi"/>
    <x v="4"/>
    <n v="170000"/>
  </r>
  <r>
    <s v="SAL176"/>
    <s v="P039"/>
    <s v="Power Equipment"/>
    <s v="CUST227"/>
    <s v="Farouk Bello"/>
    <d v="2025-11-07T00:00:00"/>
    <n v="19"/>
    <n v="275000"/>
    <n v="380000"/>
    <n v="7220000"/>
    <x v="1"/>
    <s v="Ebele Okoro"/>
    <x v="0"/>
    <n v="1995000"/>
  </r>
  <r>
    <s v="SAL177"/>
    <s v="P099"/>
    <s v="Agricultural Equipment"/>
    <s v="CUST097"/>
    <s v="Obinna Nwosu"/>
    <d v="2025-11-03T00:00:00"/>
    <n v="7"/>
    <n v="45000"/>
    <n v="70000"/>
    <n v="490000"/>
    <x v="1"/>
    <s v="Segun Ajayi"/>
    <x v="3"/>
    <n v="175000"/>
  </r>
  <r>
    <s v="SAL178"/>
    <s v="P038"/>
    <s v="Power Equipment"/>
    <s v="CUST041"/>
    <s v="Kemi Olatunde"/>
    <d v="2025-11-20T00:00:00"/>
    <n v="19"/>
    <n v="320000"/>
    <n v="435000"/>
    <n v="8265000"/>
    <x v="2"/>
    <s v="Fatima Abdullahi"/>
    <x v="1"/>
    <n v="2185000"/>
  </r>
  <r>
    <s v="SAL179"/>
    <s v="P051"/>
    <s v="Fabrication Tools"/>
    <s v="CUST182"/>
    <s v="Oluwafunke Ayo"/>
    <d v="2025-11-01T00:00:00"/>
    <n v="2"/>
    <n v="18000"/>
    <n v="30000"/>
    <n v="60000"/>
    <x v="1"/>
    <s v="Segun Ajayi"/>
    <x v="0"/>
    <n v="24000"/>
  </r>
  <r>
    <s v="SAL180"/>
    <s v="P090"/>
    <s v="Industrial Equipment"/>
    <s v="CUST239"/>
    <s v="Chinaza Eze"/>
    <d v="2025-11-07T00:00:00"/>
    <n v="17"/>
    <n v="320000"/>
    <n v="450000"/>
    <n v="7650000"/>
    <x v="1"/>
    <s v="Segun Ajayi"/>
    <x v="5"/>
    <n v="2210000"/>
  </r>
  <r>
    <s v="SAL181"/>
    <s v="P031"/>
    <s v="Industrial Equipment"/>
    <s v="CUST128"/>
    <s v="Hauwa Ali"/>
    <d v="2025-11-22T00:00:00"/>
    <n v="2"/>
    <n v="185000"/>
    <n v="255000"/>
    <n v="510000"/>
    <x v="0"/>
    <s v="Sadiq Bello"/>
    <x v="3"/>
    <n v="140000"/>
  </r>
  <r>
    <s v="SAL182"/>
    <s v="P062"/>
    <s v="Agricultural Equipment"/>
    <s v="CUST117"/>
    <s v="Olufemi Adewale"/>
    <d v="2025-11-13T00:00:00"/>
    <n v="14"/>
    <n v="9500"/>
    <n v="16500"/>
    <n v="231000"/>
    <x v="1"/>
    <s v="Olufemi Adewale"/>
    <x v="5"/>
    <n v="98000"/>
  </r>
  <r>
    <s v="SAL183"/>
    <s v="P053"/>
    <s v="Safety Equipment"/>
    <s v="CUST097"/>
    <s v="Obinna Nwosu"/>
    <d v="2025-11-20T00:00:00"/>
    <n v="17"/>
    <n v="22000"/>
    <n v="36000"/>
    <n v="612000"/>
    <x v="2"/>
    <s v="Fatima Abdullahi"/>
    <x v="0"/>
    <n v="238000"/>
  </r>
  <r>
    <s v="SAL184"/>
    <s v="P003"/>
    <s v="Agricultural Machine"/>
    <s v="CUST193"/>
    <s v="Joyce Eze"/>
    <d v="2025-11-11T00:00:00"/>
    <n v="10"/>
    <n v="95000"/>
    <n v="135000"/>
    <n v="1350000"/>
    <x v="1"/>
    <s v="Amara Nwosu"/>
    <x v="2"/>
    <n v="400000"/>
  </r>
  <r>
    <s v="SAL185"/>
    <s v="P047"/>
    <s v="Agricultural Equipment"/>
    <s v="CUST062"/>
    <s v="Salatu Abdullahi"/>
    <d v="2025-11-20T00:00:00"/>
    <n v="20"/>
    <n v="165000"/>
    <n v="230000"/>
    <n v="4600000"/>
    <x v="0"/>
    <s v="Segun Ajayi"/>
    <x v="2"/>
    <n v="1300000"/>
  </r>
  <r>
    <s v="SAL186"/>
    <s v="P085"/>
    <s v="Storage Equipment"/>
    <s v="CUST138"/>
    <s v="Rebecca John"/>
    <d v="2025-11-26T00:00:00"/>
    <n v="11"/>
    <n v="38000"/>
    <n v="62000"/>
    <n v="682000"/>
    <x v="1"/>
    <s v="Amara Nwosu"/>
    <x v="2"/>
    <n v="264000"/>
  </r>
  <r>
    <s v="SAL187"/>
    <s v="P095"/>
    <s v="Fabrication Tools"/>
    <s v="CUST225"/>
    <s v="Taiwo Olatunji"/>
    <d v="2025-11-14T00:00:00"/>
    <n v="18"/>
    <n v="145000"/>
    <n v="210000"/>
    <n v="3780000"/>
    <x v="0"/>
    <s v="Olufemi Adewale"/>
    <x v="1"/>
    <n v="1170000"/>
  </r>
  <r>
    <s v="SAL188"/>
    <s v="P061"/>
    <s v="Agricultural Equipment"/>
    <s v="CUST088"/>
    <s v="Chioma Ude"/>
    <d v="2025-12-20T00:00:00"/>
    <n v="18"/>
    <n v="18500"/>
    <n v="29500"/>
    <n v="531000"/>
    <x v="0"/>
    <s v="Fatima Abdullahi"/>
    <x v="3"/>
    <n v="198000"/>
  </r>
  <r>
    <s v="SAL189"/>
    <s v="P056"/>
    <s v="Processing Equipment"/>
    <s v="CUST153"/>
    <s v="Nneka Okeke"/>
    <d v="2025-12-16T00:00:00"/>
    <n v="5"/>
    <n v="410000"/>
    <n v="560000"/>
    <n v="2800000"/>
    <x v="1"/>
    <s v="Ebele Okoro"/>
    <x v="2"/>
    <n v="750000"/>
  </r>
  <r>
    <s v="SAL190"/>
    <s v="P014"/>
    <s v="Agricultural Machine"/>
    <s v="CUST224"/>
    <s v="Samuel Eze"/>
    <d v="2025-12-02T00:00:00"/>
    <n v="14"/>
    <n v="140000"/>
    <n v="195000"/>
    <n v="2730000"/>
    <x v="0"/>
    <s v="Ebele Okoro"/>
    <x v="3"/>
    <n v="770000"/>
  </r>
  <r>
    <s v="SAL191"/>
    <s v="P080"/>
    <s v="Power Equipment"/>
    <s v="CUST192"/>
    <s v="Mohammed Abdullahi"/>
    <d v="2025-12-10T00:00:00"/>
    <n v="17"/>
    <n v="35000"/>
    <n v="56000"/>
    <n v="952000"/>
    <x v="0"/>
    <s v="Olufemi Adewale"/>
    <x v="5"/>
    <n v="357000"/>
  </r>
  <r>
    <s v="SAL192"/>
    <s v="P095"/>
    <s v="Fabrication Tools"/>
    <s v="CUST137"/>
    <s v="Pascal Chukwu"/>
    <d v="2025-12-08T00:00:00"/>
    <n v="4"/>
    <n v="145000"/>
    <n v="210000"/>
    <n v="840000"/>
    <x v="1"/>
    <s v="Sadiq Bello"/>
    <x v="1"/>
    <n v="260000"/>
  </r>
  <r>
    <s v="SAL193"/>
    <s v="P065"/>
    <s v="Agricultural Machine"/>
    <s v="CUST139"/>
    <s v="Muhammad Sani"/>
    <d v="2025-12-01T00:00:00"/>
    <n v="10"/>
    <n v="275000"/>
    <n v="385000"/>
    <n v="3850000"/>
    <x v="1"/>
    <s v="Amara Nwosu"/>
    <x v="3"/>
    <n v="1100000"/>
  </r>
  <r>
    <s v="SAL194"/>
    <s v="P026"/>
    <s v="Agricultural Equipment"/>
    <s v="CUST163"/>
    <s v="Benedict Eze"/>
    <d v="2025-12-31T00:00:00"/>
    <n v="18"/>
    <n v="98000"/>
    <n v="145000"/>
    <n v="2610000"/>
    <x v="0"/>
    <s v="Segun Ajayi"/>
    <x v="0"/>
    <n v="846000"/>
  </r>
  <r>
    <s v="SAL195"/>
    <s v="P046"/>
    <s v="Fabrication Tools"/>
    <s v="CUST182"/>
    <s v="Oluwafunke Ayo"/>
    <d v="2025-12-13T00:00:00"/>
    <n v="3"/>
    <n v="75000"/>
    <n v="110000"/>
    <n v="330000"/>
    <x v="0"/>
    <s v="Segun Ajayi"/>
    <x v="4"/>
    <n v="105000"/>
  </r>
  <r>
    <s v="SAL196"/>
    <s v="P093"/>
    <s v="Processing Equipment"/>
    <s v="CUST209"/>
    <s v="Emmanuel John"/>
    <d v="2025-12-15T00:00:00"/>
    <n v="16"/>
    <n v="85000"/>
    <n v="130000"/>
    <n v="2080000"/>
    <x v="2"/>
    <s v="Amara Nwosu"/>
    <x v="0"/>
    <n v="720000"/>
  </r>
  <r>
    <s v="SAL197"/>
    <s v="P079"/>
    <s v="Industrial Equipment"/>
    <s v="CUST248"/>
    <s v="Danladi Ibrahim"/>
    <d v="2025-12-16T00:00:00"/>
    <n v="18"/>
    <n v="42000"/>
    <n v="68000"/>
    <n v="1224000"/>
    <x v="2"/>
    <s v="Fatima Abdullahi"/>
    <x v="4"/>
    <n v="468000"/>
  </r>
  <r>
    <s v="SAL198"/>
    <s v="P060"/>
    <s v="Agricultural Equipment"/>
    <s v="CUST114"/>
    <s v="Mariam Yusuf"/>
    <d v="2025-12-03T00:00:00"/>
    <n v="12"/>
    <n v="34000"/>
    <n v="52000"/>
    <n v="624000"/>
    <x v="1"/>
    <s v="Fatima Abdullahi"/>
    <x v="2"/>
    <n v="216000"/>
  </r>
  <r>
    <s v="SAL199"/>
    <s v="P106"/>
    <s v="Agriculture Equipment"/>
    <s v="CUST162"/>
    <s v="Salatu Abdullahi"/>
    <d v="2025-12-31T00:00:00"/>
    <n v="8"/>
    <n v="44000"/>
    <n v="63000"/>
    <n v="504000"/>
    <x v="2"/>
    <s v="Amara Nwosu"/>
    <x v="1"/>
    <n v="152000"/>
  </r>
  <r>
    <s v="SAL200"/>
    <s v="P095"/>
    <s v="Fabrication Tools"/>
    <s v="CUST189"/>
    <s v="Abubakar Sani"/>
    <d v="2025-12-30T00:00:00"/>
    <n v="15"/>
    <n v="145000"/>
    <n v="210000"/>
    <n v="3150000"/>
    <x v="1"/>
    <s v="Fatima Abdullahi"/>
    <x v="0"/>
    <n v="975000"/>
  </r>
  <r>
    <s v="SAL201"/>
    <s v="P026"/>
    <s v="Agricultural Equipment"/>
    <s v="CUST186"/>
    <s v="Joy Alade"/>
    <d v="2025-12-04T00:00:00"/>
    <n v="1"/>
    <n v="98000"/>
    <n v="145000"/>
    <n v="145000"/>
    <x v="0"/>
    <s v="Ebele Okoro"/>
    <x v="0"/>
    <n v="47000"/>
  </r>
  <r>
    <s v="SAL202"/>
    <s v="P096"/>
    <s v="Harvesting Equipment"/>
    <s v="CUST143"/>
    <s v="Precious Obi"/>
    <d v="2025-12-25T00:00:00"/>
    <n v="3"/>
    <n v="180000"/>
    <n v="250000"/>
    <n v="750000"/>
    <x v="2"/>
    <s v="Segun Ajayi"/>
    <x v="2"/>
    <n v="210000"/>
  </r>
  <r>
    <s v="SAL203"/>
    <s v="P086"/>
    <s v="Agricultural Machine"/>
    <s v="CUST146"/>
    <s v="Miriam Okoro"/>
    <d v="2025-12-08T00:00:00"/>
    <n v="19"/>
    <n v="165000"/>
    <n v="235000"/>
    <n v="4465000"/>
    <x v="2"/>
    <s v="Amara Nwosu"/>
    <x v="5"/>
    <n v="1330000"/>
  </r>
  <r>
    <s v="SAL204"/>
    <s v="P059"/>
    <s v="Power Equipment"/>
    <s v="CUST109"/>
    <s v="Adetola Williams"/>
    <d v="2025-12-08T00:00:00"/>
    <n v="2"/>
    <n v="52000"/>
    <n v="78000"/>
    <n v="156000"/>
    <x v="1"/>
    <s v="Fatima Abdullahi"/>
    <x v="3"/>
    <n v="52000"/>
  </r>
  <r>
    <s v="SAL205"/>
    <s v="P062"/>
    <s v="Agricultural Equipment"/>
    <s v="CUST149"/>
    <s v="Funke Adeyemi"/>
    <d v="2026-01-14T00:00:00"/>
    <n v="8"/>
    <n v="9500"/>
    <n v="16500"/>
    <n v="132000"/>
    <x v="2"/>
    <s v="Fatima Abdullahi"/>
    <x v="1"/>
    <n v="56000"/>
  </r>
  <r>
    <s v="SAL206"/>
    <s v="P079"/>
    <s v="Industrial Equipment"/>
    <s v="CUST126"/>
    <s v="Joyce Okon"/>
    <d v="2026-01-19T00:00:00"/>
    <n v="16"/>
    <n v="42000"/>
    <n v="68000"/>
    <n v="1088000"/>
    <x v="2"/>
    <s v="Olufemi Adewale"/>
    <x v="4"/>
    <n v="416000"/>
  </r>
  <r>
    <s v="SAL207"/>
    <s v="P031"/>
    <s v="Industrial Equipment"/>
    <s v="CUST059"/>
    <s v="Zainab Abdullahi"/>
    <d v="2026-01-20T00:00:00"/>
    <n v="5"/>
    <n v="185000"/>
    <n v="255000"/>
    <n v="1275000"/>
    <x v="0"/>
    <s v="Amara Nwosu"/>
    <x v="0"/>
    <n v="350000"/>
  </r>
  <r>
    <s v="SAL208"/>
    <s v="P071"/>
    <s v="Agricultural Equipment"/>
    <s v="CUST228"/>
    <s v="Joyce Akpan"/>
    <d v="2026-01-20T00:00:00"/>
    <n v="1"/>
    <n v="42000"/>
    <n v="65000"/>
    <n v="65000"/>
    <x v="0"/>
    <s v="Fatima Abdullahi"/>
    <x v="3"/>
    <n v="23000"/>
  </r>
  <r>
    <s v="SAL209"/>
    <s v="P105"/>
    <s v="Agricultural Equipment"/>
    <s v="CUST082"/>
    <s v="Oluwafunke Ayo"/>
    <d v="2026-01-25T00:00:00"/>
    <n v="17"/>
    <n v="26000"/>
    <n v="38000"/>
    <n v="646000"/>
    <x v="1"/>
    <s v="Amara Nwosu"/>
    <x v="1"/>
    <n v="204000"/>
  </r>
  <r>
    <s v="SAL210"/>
    <s v="P084"/>
    <s v="Power Equipment"/>
    <s v="CUST185"/>
    <s v="Ahmed Bello"/>
    <d v="2026-01-06T00:00:00"/>
    <n v="11"/>
    <n v="29000"/>
    <n v="46000"/>
    <n v="506000"/>
    <x v="1"/>
    <s v="Fatima Abdullahi"/>
    <x v="4"/>
    <n v="187000"/>
  </r>
  <r>
    <s v="SAL211"/>
    <s v="P084"/>
    <s v="Power Equipment"/>
    <s v="CUST153"/>
    <s v="Nneka Okeke"/>
    <d v="2026-01-04T00:00:00"/>
    <n v="2"/>
    <n v="29000"/>
    <n v="46000"/>
    <n v="92000"/>
    <x v="0"/>
    <s v="Amara Nwosu"/>
    <x v="3"/>
    <n v="34000"/>
  </r>
  <r>
    <s v="SAL212"/>
    <s v="P019"/>
    <s v="Processing Equipment"/>
    <s v="CUST116"/>
    <s v="Racheal John"/>
    <d v="2026-01-31T00:00:00"/>
    <n v="14"/>
    <n v="155000"/>
    <n v="215000"/>
    <n v="3010000"/>
    <x v="1"/>
    <s v="Amara Nwosu"/>
    <x v="5"/>
    <n v="840000"/>
  </r>
  <r>
    <s v="SAL213"/>
    <s v="P009"/>
    <s v="Agricultural Equipment"/>
    <s v="CUST214"/>
    <s v="Rasheedat Bello"/>
    <d v="2026-01-24T00:00:00"/>
    <n v="3"/>
    <n v="135000"/>
    <n v="185000"/>
    <n v="555000"/>
    <x v="2"/>
    <s v="Sadiq Bello"/>
    <x v="5"/>
    <n v="150000"/>
  </r>
  <r>
    <s v="SAL214"/>
    <s v="P006"/>
    <s v="Agricultural Equipment"/>
    <s v="CUST166"/>
    <s v="Patience Umeh"/>
    <d v="2026-01-20T00:00:00"/>
    <n v="14"/>
    <n v="260000"/>
    <n v="345000"/>
    <n v="4830000"/>
    <x v="1"/>
    <s v="Fatima Abdullahi"/>
    <x v="1"/>
    <n v="1190000"/>
  </r>
  <r>
    <s v="SAL215"/>
    <s v="P055"/>
    <s v="Processing Equipment"/>
    <s v="CUST204"/>
    <s v="Josephine Dan"/>
    <d v="2026-01-16T00:00:00"/>
    <n v="11"/>
    <n v="295000"/>
    <n v="410000"/>
    <n v="4510000"/>
    <x v="0"/>
    <s v="Segun Ajayi"/>
    <x v="3"/>
    <n v="1265000"/>
  </r>
  <r>
    <s v="SAL216"/>
    <s v="P030"/>
    <s v="Industrial Equipment"/>
    <s v="CUST216"/>
    <s v="Florence Umeh"/>
    <d v="2026-01-15T00:00:00"/>
    <n v="9"/>
    <n v="720000"/>
    <n v="950000"/>
    <n v="8550000"/>
    <x v="1"/>
    <s v="Segun Ajayi"/>
    <x v="1"/>
    <n v="2070000"/>
  </r>
  <r>
    <s v="SAL217"/>
    <s v="P053"/>
    <s v="Safety Equipment"/>
    <s v="CUST073"/>
    <s v="Nkiru Obi"/>
    <d v="2026-01-20T00:00:00"/>
    <n v="3"/>
    <n v="22000"/>
    <n v="36000"/>
    <n v="108000"/>
    <x v="2"/>
    <s v="Sadiq Bello"/>
    <x v="3"/>
    <n v="42000"/>
  </r>
  <r>
    <s v="SAL218"/>
    <s v="P105"/>
    <s v="Agricultural Equipment"/>
    <s v="CUST211"/>
    <s v="Abiola Adeniyi"/>
    <d v="2026-01-28T00:00:00"/>
    <n v="20"/>
    <n v="26000"/>
    <n v="38000"/>
    <n v="760000"/>
    <x v="0"/>
    <s v="Segun Ajayi"/>
    <x v="4"/>
    <n v="240000"/>
  </r>
  <r>
    <s v="SAL219"/>
    <s v="P103"/>
    <s v="Agricultural Equipment"/>
    <s v="CUST046"/>
    <s v="Miriam Okoro"/>
    <d v="2026-01-27T00:00:00"/>
    <n v="13"/>
    <n v="12000"/>
    <n v="19000"/>
    <n v="247000"/>
    <x v="2"/>
    <s v="Fatima Abdullahi"/>
    <x v="0"/>
    <n v="91000"/>
  </r>
  <r>
    <s v="SAL220"/>
    <s v="P104"/>
    <s v="Storage Equipment"/>
    <s v="CUST245"/>
    <s v="Aisha Suleman"/>
    <d v="2026-01-24T00:00:00"/>
    <n v="7"/>
    <n v="140000"/>
    <n v="195000"/>
    <n v="1365000"/>
    <x v="2"/>
    <s v="Amara Nwosu"/>
    <x v="1"/>
    <n v="385000"/>
  </r>
  <r>
    <s v="SAL221"/>
    <s v="P104"/>
    <s v="Storage Equipment"/>
    <s v="CUST008"/>
    <s v="Amara Nwosu"/>
    <d v="2026-01-07T00:00:00"/>
    <n v="6"/>
    <n v="140000"/>
    <n v="195000"/>
    <n v="1170000"/>
    <x v="1"/>
    <s v="Olufemi Adewale"/>
    <x v="1"/>
    <n v="330000"/>
  </r>
  <r>
    <s v="SAL222"/>
    <s v="P039"/>
    <s v="Power Equipment"/>
    <s v="CUST162"/>
    <s v="Salatu Abdullahi"/>
    <d v="2026-02-19T00:00:00"/>
    <n v="15"/>
    <n v="275000"/>
    <n v="380000"/>
    <n v="5700000"/>
    <x v="1"/>
    <s v="Amara Nwosu"/>
    <x v="5"/>
    <n v="1575000"/>
  </r>
  <r>
    <s v="SAL223"/>
    <s v="P066"/>
    <s v="Energy Equipment"/>
    <s v="CUST098"/>
    <s v="Kudirat Ahmed"/>
    <d v="2026-02-23T00:00:00"/>
    <n v="16"/>
    <n v="480000"/>
    <n v="650000"/>
    <n v="10400000"/>
    <x v="0"/>
    <s v="Amara Nwosu"/>
    <x v="0"/>
    <n v="2720000"/>
  </r>
  <r>
    <s v="SAL224"/>
    <s v="P079"/>
    <s v="Industrial Equipment"/>
    <s v="CUST124"/>
    <s v="Halimat Taiwo"/>
    <d v="2026-02-09T00:00:00"/>
    <n v="9"/>
    <n v="42000"/>
    <n v="68000"/>
    <n v="612000"/>
    <x v="2"/>
    <s v="Ebele Okoro"/>
    <x v="1"/>
    <n v="234000"/>
  </r>
  <r>
    <s v="SAL225"/>
    <s v="P031"/>
    <s v="Industrial Equipment"/>
    <s v="CUST227"/>
    <s v="Farouk Bello"/>
    <d v="2026-02-03T00:00:00"/>
    <n v="11"/>
    <n v="185000"/>
    <n v="255000"/>
    <n v="2805000"/>
    <x v="2"/>
    <s v="Fatima Abdullahi"/>
    <x v="1"/>
    <n v="770000"/>
  </r>
  <r>
    <s v="SAL226"/>
    <s v="P069"/>
    <s v="Agricultural Structure"/>
    <s v="CUST185"/>
    <s v="Ahmed Bello"/>
    <d v="2026-02-04T00:00:00"/>
    <n v="5"/>
    <n v="520000"/>
    <n v="710000"/>
    <n v="3550000"/>
    <x v="1"/>
    <s v="Ebele Okoro"/>
    <x v="4"/>
    <n v="950000"/>
  </r>
  <r>
    <s v="SAL227"/>
    <s v="P091"/>
    <s v="Power Equipment"/>
    <s v="CUST168"/>
    <s v="Halimat Lawal"/>
    <d v="2026-02-10T00:00:00"/>
    <n v="18"/>
    <n v="68000"/>
    <n v="105000"/>
    <n v="1890000"/>
    <x v="0"/>
    <s v="Segun Ajayi"/>
    <x v="0"/>
    <n v="666000"/>
  </r>
  <r>
    <s v="SAL228"/>
    <s v="P086"/>
    <s v="Agricultural Machine"/>
    <s v="CUST034"/>
    <s v="Joseph Anene"/>
    <d v="2026-02-20T00:00:00"/>
    <n v="17"/>
    <n v="165000"/>
    <n v="235000"/>
    <n v="3995000"/>
    <x v="2"/>
    <s v="Olufemi Adewale"/>
    <x v="0"/>
    <n v="1190000"/>
  </r>
  <r>
    <s v="SAL229"/>
    <s v="P066"/>
    <s v="Energy Equipment"/>
    <s v="CUST081"/>
    <s v="Patience Adebisi"/>
    <d v="2026-02-28T00:00:00"/>
    <n v="17"/>
    <n v="480000"/>
    <n v="650000"/>
    <n v="11050000"/>
    <x v="2"/>
    <s v="Olufemi Adewale"/>
    <x v="2"/>
    <n v="2890000"/>
  </r>
  <r>
    <s v="SAL230"/>
    <s v="P074"/>
    <s v="Agricultural Equipment"/>
    <s v="CUST049"/>
    <s v="Funke Adeyemi"/>
    <d v="2026-02-09T00:00:00"/>
    <n v="6"/>
    <n v="88000"/>
    <n v="130000"/>
    <n v="780000"/>
    <x v="1"/>
    <s v="Sadiq Bello"/>
    <x v="5"/>
    <n v="252000"/>
  </r>
  <r>
    <s v="SAL231"/>
    <s v="P046"/>
    <s v="Fabrication Tools"/>
    <s v="CUST163"/>
    <s v="Benedict Eze"/>
    <d v="2026-02-02T00:00:00"/>
    <n v="1"/>
    <n v="75000"/>
    <n v="110000"/>
    <n v="110000"/>
    <x v="0"/>
    <s v="Segun Ajayi"/>
    <x v="3"/>
    <n v="35000"/>
  </r>
  <r>
    <s v="SAL232"/>
    <s v="P073"/>
    <s v="Processing Equipment"/>
    <s v="CUST167"/>
    <s v="Tope Okunola"/>
    <d v="2026-02-21T00:00:00"/>
    <n v="20"/>
    <n v="390000"/>
    <n v="540000"/>
    <n v="10800000"/>
    <x v="1"/>
    <s v="Fatima Abdullahi"/>
    <x v="3"/>
    <n v="3000000"/>
  </r>
  <r>
    <s v="SAL233"/>
    <s v="P032"/>
    <s v="Industrial Equipment"/>
    <s v="CUST140"/>
    <s v="Joy Okafor"/>
    <d v="2026-02-03T00:00:00"/>
    <n v="3"/>
    <n v="210000"/>
    <n v="295000"/>
    <n v="885000"/>
    <x v="1"/>
    <s v="Olufemi Adewale"/>
    <x v="3"/>
    <n v="25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797FE-5122-4023-84FA-37B2E9060AFE}"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yment_Method">
  <location ref="G16:H20" firstHeaderRow="1" firstDataRow="1" firstDataCol="1"/>
  <pivotFields count="14">
    <pivotField showAll="0"/>
    <pivotField showAll="0"/>
    <pivotField showAll="0"/>
    <pivotField showAll="0"/>
    <pivotField showAll="0"/>
    <pivotField numFmtId="165" showAll="0"/>
    <pivotField showAll="0"/>
    <pivotField numFmtId="166" showAll="0"/>
    <pivotField numFmtId="166" showAll="0"/>
    <pivotField dataField="1" numFmtId="166" showAll="0"/>
    <pivotField axis="axisRow" showAll="0">
      <items count="4">
        <item x="2"/>
        <item x="1"/>
        <item x="0"/>
        <item t="default"/>
      </items>
    </pivotField>
    <pivotField showAll="0"/>
    <pivotField showAll="0">
      <items count="7">
        <item x="1"/>
        <item x="0"/>
        <item x="3"/>
        <item x="2"/>
        <item x="5"/>
        <item x="4"/>
        <item t="default"/>
      </items>
    </pivotField>
    <pivotField numFmtId="166" showAll="0"/>
  </pivotFields>
  <rowFields count="1">
    <field x="10"/>
  </rowFields>
  <rowItems count="4">
    <i>
      <x/>
    </i>
    <i>
      <x v="1"/>
    </i>
    <i>
      <x v="2"/>
    </i>
    <i t="grand">
      <x/>
    </i>
  </rowItems>
  <colItems count="1">
    <i/>
  </colItems>
  <dataFields count="1">
    <dataField name="Sum of Total_amount" fld="9" baseField="0" baseItem="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0" count="1" selected="0">
            <x v="0"/>
          </reference>
        </references>
      </pivotArea>
    </chartFormat>
    <chartFormat chart="2" format="11">
      <pivotArea type="data" outline="0" fieldPosition="0">
        <references count="2">
          <reference field="4294967294" count="1" selected="0">
            <x v="0"/>
          </reference>
          <reference field="10" count="1" selected="0">
            <x v="1"/>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C7D7C9-3EDA-42F5-92B9-8539F960AE6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D6:E19" firstHeaderRow="1" firstDataRow="1" firstDataCol="1"/>
  <pivotFields count="14">
    <pivotField showAll="0"/>
    <pivotField showAll="0"/>
    <pivotField axis="axisRow" showAll="0" sortType="ascending">
      <items count="14">
        <item x="0"/>
        <item x="1"/>
        <item x="9"/>
        <item x="10"/>
        <item x="11"/>
        <item x="7"/>
        <item x="5"/>
        <item x="8"/>
        <item x="6"/>
        <item x="3"/>
        <item x="2"/>
        <item x="4"/>
        <item h="1" x="12"/>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dataField="1" showAll="0">
      <items count="194">
        <item x="111"/>
        <item x="108"/>
        <item x="44"/>
        <item x="129"/>
        <item x="147"/>
        <item x="169"/>
        <item x="53"/>
        <item x="1"/>
        <item x="0"/>
        <item x="98"/>
        <item x="99"/>
        <item x="102"/>
        <item x="72"/>
        <item x="177"/>
        <item x="189"/>
        <item x="167"/>
        <item x="37"/>
        <item x="164"/>
        <item x="17"/>
        <item x="80"/>
        <item x="126"/>
        <item x="93"/>
        <item x="78"/>
        <item x="23"/>
        <item x="122"/>
        <item x="105"/>
        <item x="115"/>
        <item x="150"/>
        <item x="136"/>
        <item x="51"/>
        <item x="179"/>
        <item x="69"/>
        <item x="86"/>
        <item x="84"/>
        <item x="14"/>
        <item x="35"/>
        <item x="18"/>
        <item x="24"/>
        <item x="75"/>
        <item x="56"/>
        <item x="29"/>
        <item x="100"/>
        <item x="73"/>
        <item x="140"/>
        <item x="82"/>
        <item x="114"/>
        <item x="135"/>
        <item x="171"/>
        <item x="149"/>
        <item x="33"/>
        <item x="116"/>
        <item x="85"/>
        <item x="43"/>
        <item x="4"/>
        <item x="173"/>
        <item x="141"/>
        <item x="3"/>
        <item x="92"/>
        <item x="144"/>
        <item x="46"/>
        <item x="58"/>
        <item x="133"/>
        <item x="70"/>
        <item x="162"/>
        <item x="170"/>
        <item x="137"/>
        <item x="121"/>
        <item x="66"/>
        <item x="152"/>
        <item x="16"/>
        <item x="50"/>
        <item x="26"/>
        <item x="42"/>
        <item x="165"/>
        <item x="15"/>
        <item x="178"/>
        <item x="64"/>
        <item x="188"/>
        <item x="13"/>
        <item x="6"/>
        <item x="157"/>
        <item x="101"/>
        <item x="71"/>
        <item x="30"/>
        <item x="191"/>
        <item x="97"/>
        <item x="11"/>
        <item x="156"/>
        <item x="65"/>
        <item x="63"/>
        <item x="104"/>
        <item x="54"/>
        <item x="34"/>
        <item x="62"/>
        <item x="168"/>
        <item x="90"/>
        <item x="19"/>
        <item x="60"/>
        <item x="161"/>
        <item x="77"/>
        <item x="79"/>
        <item x="96"/>
        <item x="131"/>
        <item x="142"/>
        <item x="38"/>
        <item x="125"/>
        <item x="132"/>
        <item x="180"/>
        <item x="91"/>
        <item x="39"/>
        <item x="109"/>
        <item x="36"/>
        <item x="103"/>
        <item x="119"/>
        <item x="89"/>
        <item x="107"/>
        <item x="124"/>
        <item x="87"/>
        <item x="185"/>
        <item x="61"/>
        <item x="55"/>
        <item x="31"/>
        <item x="95"/>
        <item x="160"/>
        <item x="94"/>
        <item x="2"/>
        <item x="40"/>
        <item x="83"/>
        <item x="9"/>
        <item x="143"/>
        <item x="127"/>
        <item x="57"/>
        <item x="159"/>
        <item x="67"/>
        <item x="117"/>
        <item x="155"/>
        <item x="21"/>
        <item x="48"/>
        <item x="52"/>
        <item x="154"/>
        <item x="183"/>
        <item x="138"/>
        <item x="172"/>
        <item x="68"/>
        <item x="163"/>
        <item x="88"/>
        <item x="20"/>
        <item x="81"/>
        <item x="10"/>
        <item x="22"/>
        <item x="113"/>
        <item x="139"/>
        <item x="184"/>
        <item x="45"/>
        <item x="5"/>
        <item x="27"/>
        <item x="153"/>
        <item x="158"/>
        <item x="186"/>
        <item x="28"/>
        <item x="134"/>
        <item x="8"/>
        <item x="12"/>
        <item x="166"/>
        <item x="175"/>
        <item x="59"/>
        <item x="151"/>
        <item x="174"/>
        <item x="32"/>
        <item x="112"/>
        <item x="128"/>
        <item x="74"/>
        <item x="181"/>
        <item x="118"/>
        <item x="110"/>
        <item x="76"/>
        <item x="25"/>
        <item x="41"/>
        <item x="145"/>
        <item x="49"/>
        <item x="148"/>
        <item x="47"/>
        <item x="146"/>
        <item x="130"/>
        <item x="176"/>
        <item x="7"/>
        <item x="123"/>
        <item x="182"/>
        <item x="190"/>
        <item x="187"/>
        <item x="120"/>
        <item x="106"/>
        <item x="192"/>
        <item t="default"/>
      </items>
    </pivotField>
    <pivotField showAll="0"/>
    <pivotField showAll="0"/>
    <pivotField showAll="0">
      <items count="8">
        <item x="1"/>
        <item x="0"/>
        <item x="3"/>
        <item x="2"/>
        <item x="5"/>
        <item x="4"/>
        <item x="6"/>
        <item t="default"/>
      </items>
    </pivotField>
    <pivotField showAll="0" defaultSubtotal="0"/>
    <pivotField showAll="0" defaultSubtotal="0">
      <items count="4">
        <item x="0"/>
        <item x="1"/>
        <item x="2"/>
        <item x="3"/>
      </items>
    </pivotField>
  </pivotFields>
  <rowFields count="1">
    <field x="2"/>
  </rowFields>
  <rowItems count="13">
    <i>
      <x v="3"/>
    </i>
    <i>
      <x v="10"/>
    </i>
    <i>
      <x v="2"/>
    </i>
    <i>
      <x v="5"/>
    </i>
    <i>
      <x v="6"/>
    </i>
    <i>
      <x v="4"/>
    </i>
    <i>
      <x v="8"/>
    </i>
    <i>
      <x v="7"/>
    </i>
    <i>
      <x/>
    </i>
    <i>
      <x v="11"/>
    </i>
    <i>
      <x v="1"/>
    </i>
    <i>
      <x v="9"/>
    </i>
    <i t="grand">
      <x/>
    </i>
  </rowItems>
  <colItems count="1">
    <i/>
  </colItems>
  <dataFields count="1">
    <dataField name="Total Amount"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D40932-146B-4221-9F93-63C7EA70DEF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s">
  <location ref="A6:B19" firstHeaderRow="1" firstDataRow="1" firstDataCol="1"/>
  <pivotFields count="14">
    <pivotField showAll="0"/>
    <pivotField showAll="0"/>
    <pivotField showAll="0"/>
    <pivotField showAll="0"/>
    <pivotField showAll="0"/>
    <pivotField axis="axisRow" showAll="0">
      <items count="15">
        <item h="1" x="0"/>
        <item x="1"/>
        <item x="2"/>
        <item x="3"/>
        <item x="4"/>
        <item x="5"/>
        <item x="6"/>
        <item x="7"/>
        <item x="8"/>
        <item x="9"/>
        <item x="10"/>
        <item x="11"/>
        <item x="12"/>
        <item h="1" x="13"/>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Total Am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14E1A-0281-45C0-90F0-980AD5CF51D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s">
  <location ref="K6:M17" firstHeaderRow="0" firstDataRow="1" firstDataCol="1"/>
  <pivotFields count="14">
    <pivotField showAll="0"/>
    <pivotField showAll="0"/>
    <pivotField showAll="0"/>
    <pivotField dataField="1" showAll="0">
      <items count="147">
        <item x="41"/>
        <item x="27"/>
        <item x="140"/>
        <item x="80"/>
        <item x="56"/>
        <item x="21"/>
        <item x="108"/>
        <item x="57"/>
        <item x="1"/>
        <item x="66"/>
        <item x="82"/>
        <item x="45"/>
        <item x="105"/>
        <item x="74"/>
        <item x="87"/>
        <item x="29"/>
        <item x="70"/>
        <item x="61"/>
        <item x="30"/>
        <item x="116"/>
        <item x="8"/>
        <item x="40"/>
        <item x="139"/>
        <item x="72"/>
        <item x="52"/>
        <item x="53"/>
        <item x="4"/>
        <item x="49"/>
        <item x="12"/>
        <item x="117"/>
        <item x="109"/>
        <item x="131"/>
        <item x="118"/>
        <item x="123"/>
        <item x="47"/>
        <item x="79"/>
        <item x="86"/>
        <item x="85"/>
        <item x="37"/>
        <item x="67"/>
        <item x="89"/>
        <item x="26"/>
        <item x="2"/>
        <item x="143"/>
        <item x="132"/>
        <item x="48"/>
        <item x="84"/>
        <item x="63"/>
        <item x="93"/>
        <item x="119"/>
        <item x="24"/>
        <item x="141"/>
        <item x="60"/>
        <item x="28"/>
        <item x="69"/>
        <item x="111"/>
        <item x="75"/>
        <item x="58"/>
        <item x="31"/>
        <item x="25"/>
        <item x="90"/>
        <item x="122"/>
        <item x="88"/>
        <item x="35"/>
        <item x="102"/>
        <item x="142"/>
        <item x="130"/>
        <item x="121"/>
        <item x="97"/>
        <item x="46"/>
        <item x="127"/>
        <item x="124"/>
        <item x="76"/>
        <item x="101"/>
        <item x="59"/>
        <item x="19"/>
        <item x="129"/>
        <item x="13"/>
        <item x="34"/>
        <item x="55"/>
        <item x="94"/>
        <item x="51"/>
        <item x="33"/>
        <item x="50"/>
        <item x="62"/>
        <item x="22"/>
        <item x="112"/>
        <item x="83"/>
        <item x="96"/>
        <item x="135"/>
        <item x="144"/>
        <item x="64"/>
        <item x="39"/>
        <item x="98"/>
        <item x="99"/>
        <item x="0"/>
        <item x="77"/>
        <item x="36"/>
        <item x="91"/>
        <item x="23"/>
        <item x="71"/>
        <item x="133"/>
        <item x="120"/>
        <item x="9"/>
        <item x="128"/>
        <item x="18"/>
        <item x="126"/>
        <item x="114"/>
        <item x="104"/>
        <item x="10"/>
        <item x="68"/>
        <item x="3"/>
        <item x="15"/>
        <item x="107"/>
        <item x="136"/>
        <item x="20"/>
        <item x="17"/>
        <item x="115"/>
        <item x="78"/>
        <item x="38"/>
        <item x="106"/>
        <item x="138"/>
        <item x="92"/>
        <item x="134"/>
        <item x="137"/>
        <item x="6"/>
        <item x="42"/>
        <item x="100"/>
        <item x="54"/>
        <item x="125"/>
        <item x="110"/>
        <item x="81"/>
        <item x="5"/>
        <item x="103"/>
        <item x="16"/>
        <item x="11"/>
        <item x="95"/>
        <item x="14"/>
        <item x="44"/>
        <item x="43"/>
        <item x="65"/>
        <item x="113"/>
        <item x="7"/>
        <item x="32"/>
        <item x="73"/>
        <item x="145"/>
        <item t="default"/>
      </items>
    </pivotField>
    <pivotField axis="axisRow" showAll="0" measureFilter="1" sortType="descending">
      <items count="115">
        <item x="110"/>
        <item x="80"/>
        <item x="45"/>
        <item x="91"/>
        <item x="105"/>
        <item x="8"/>
        <item x="77"/>
        <item x="55"/>
        <item x="12"/>
        <item x="60"/>
        <item x="82"/>
        <item x="111"/>
        <item x="85"/>
        <item x="1"/>
        <item x="73"/>
        <item x="24"/>
        <item x="53"/>
        <item x="92"/>
        <item x="2"/>
        <item x="11"/>
        <item x="81"/>
        <item x="32"/>
        <item x="14"/>
        <item x="37"/>
        <item x="89"/>
        <item x="58"/>
        <item x="74"/>
        <item x="65"/>
        <item x="79"/>
        <item x="88"/>
        <item x="31"/>
        <item x="30"/>
        <item x="20"/>
        <item x="18"/>
        <item x="49"/>
        <item x="35"/>
        <item x="61"/>
        <item x="17"/>
        <item x="7"/>
        <item x="71"/>
        <item x="40"/>
        <item x="109"/>
        <item x="48"/>
        <item x="0"/>
        <item x="10"/>
        <item x="62"/>
        <item x="75"/>
        <item x="4"/>
        <item x="26"/>
        <item x="59"/>
        <item x="72"/>
        <item x="86"/>
        <item x="90"/>
        <item x="76"/>
        <item x="96"/>
        <item x="83"/>
        <item x="27"/>
        <item x="108"/>
        <item x="44"/>
        <item x="28"/>
        <item x="46"/>
        <item x="5"/>
        <item x="94"/>
        <item x="103"/>
        <item x="54"/>
        <item x="3"/>
        <item x="6"/>
        <item x="42"/>
        <item x="43"/>
        <item x="29"/>
        <item x="15"/>
        <item x="19"/>
        <item x="13"/>
        <item x="100"/>
        <item x="56"/>
        <item x="67"/>
        <item x="34"/>
        <item x="47"/>
        <item x="23"/>
        <item x="93"/>
        <item x="97"/>
        <item x="22"/>
        <item x="57"/>
        <item x="66"/>
        <item x="101"/>
        <item x="112"/>
        <item x="39"/>
        <item x="107"/>
        <item x="95"/>
        <item x="51"/>
        <item x="102"/>
        <item x="78"/>
        <item x="106"/>
        <item x="16"/>
        <item x="98"/>
        <item x="87"/>
        <item x="68"/>
        <item x="21"/>
        <item x="50"/>
        <item x="25"/>
        <item x="36"/>
        <item x="84"/>
        <item x="63"/>
        <item x="69"/>
        <item x="9"/>
        <item x="99"/>
        <item x="52"/>
        <item x="70"/>
        <item x="38"/>
        <item x="33"/>
        <item x="41"/>
        <item x="64"/>
        <item x="104"/>
        <item x="1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defaultSubtotal="0"/>
    <pivotField showAll="0" defaultSubtotal="0"/>
  </pivotFields>
  <rowFields count="1">
    <field x="4"/>
  </rowFields>
  <rowItems count="11">
    <i>
      <x v="5"/>
    </i>
    <i>
      <x v="97"/>
    </i>
    <i>
      <x v="39"/>
    </i>
    <i>
      <x v="21"/>
    </i>
    <i>
      <x v="59"/>
    </i>
    <i>
      <x v="82"/>
    </i>
    <i>
      <x v="78"/>
    </i>
    <i>
      <x v="64"/>
    </i>
    <i>
      <x v="91"/>
    </i>
    <i>
      <x v="107"/>
    </i>
    <i t="grand">
      <x/>
    </i>
  </rowItems>
  <colFields count="1">
    <field x="-2"/>
  </colFields>
  <colItems count="2">
    <i>
      <x/>
    </i>
    <i i="1">
      <x v="1"/>
    </i>
  </colItems>
  <dataFields count="2">
    <dataField name="Total Amount" fld="8" baseField="0" baseItem="0"/>
    <dataField name="Sales by Customer" fld="3" subtotal="count" baseField="0" baseItem="0"/>
  </dataField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487E97-9581-4DDC-A5DD-0EDD5F59BD5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G6:I13" firstHeaderRow="0" firstDataRow="1" firstDataCol="1"/>
  <pivotFields count="14">
    <pivotField showAll="0"/>
    <pivotField showAll="0"/>
    <pivotField showAll="0"/>
    <pivotField showAll="0"/>
    <pivotField showAll="0"/>
    <pivotField showAll="0"/>
    <pivotField dataField="1" showAll="0"/>
    <pivotField showAll="0"/>
    <pivotField dataField="1" showAll="0"/>
    <pivotField showAll="0"/>
    <pivotField showAll="0"/>
    <pivotField axis="axisRow" showAll="0" sortType="descending">
      <items count="8">
        <item x="1"/>
        <item x="0"/>
        <item x="3"/>
        <item x="2"/>
        <item x="5"/>
        <item x="4"/>
        <item h="1" x="6"/>
        <item t="default"/>
      </items>
      <autoSortScope>
        <pivotArea dataOnly="0" outline="0" fieldPosition="0">
          <references count="1">
            <reference field="4294967294" count="1" selected="0">
              <x v="1"/>
            </reference>
          </references>
        </pivotArea>
      </autoSortScope>
    </pivotField>
    <pivotField showAll="0" defaultSubtotal="0"/>
    <pivotField showAll="0" defaultSubtotal="0"/>
  </pivotFields>
  <rowFields count="1">
    <field x="11"/>
  </rowFields>
  <rowItems count="7">
    <i>
      <x v="1"/>
    </i>
    <i>
      <x v="2"/>
    </i>
    <i>
      <x/>
    </i>
    <i>
      <x v="4"/>
    </i>
    <i>
      <x v="5"/>
    </i>
    <i>
      <x v="3"/>
    </i>
    <i t="grand">
      <x/>
    </i>
  </rowItems>
  <colFields count="1">
    <field x="-2"/>
  </colFields>
  <colItems count="2">
    <i>
      <x/>
    </i>
    <i i="1">
      <x v="1"/>
    </i>
  </colItems>
  <dataFields count="2">
    <dataField name="Quantity Purchased" fld="6" baseField="0" baseItem="0"/>
    <dataField name="Total Amount"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F905BB-C52E-478A-9975-E2280FCB3F06}" sourceName="Category">
  <pivotTables>
    <pivotTable tabId="8" name="PivotTable3"/>
  </pivotTables>
  <data>
    <tabular pivotCacheId="83572186">
      <items count="13">
        <i x="0" s="1"/>
        <i x="1" s="1"/>
        <i x="9" s="1"/>
        <i x="10" s="1"/>
        <i x="11" s="1"/>
        <i x="7" s="1"/>
        <i x="5" s="1"/>
        <i x="8" s="1"/>
        <i x="6" s="1"/>
        <i x="3" s="1"/>
        <i x="2" s="1"/>
        <i x="4" s="1"/>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1DA4AE-C301-4AE5-A32B-59975C73AA01}" sourceName="Region">
  <pivotTables>
    <pivotTable tabId="8" name="PivotTable3"/>
  </pivotTables>
  <data>
    <tabular pivotCacheId="83572186">
      <items count="7">
        <i x="1" s="1"/>
        <i x="0" s="1"/>
        <i x="3" s="1"/>
        <i x="2" s="1"/>
        <i x="5"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B7C53C3-4604-417E-8059-BC1E9F9B3AA3}" cache="Slicer_Category" caption="Category" startItem="5" style="SlicerStyleLight6" rowHeight="241300"/>
  <slicer name="Region 1" xr10:uid="{161014E5-12C7-4B16-AFFF-F5CABA811805}"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2CED0A-40CA-42B5-B400-4BC2F2BAA0D9}" name="tblSales" displayName="tblSales" ref="A1:N234" totalsRowShown="0" headerRowDxfId="40" dataDxfId="39">
  <autoFilter ref="A1:N234" xr:uid="{E32CED0A-40CA-42B5-B400-4BC2F2BAA0D9}"/>
  <tableColumns count="14">
    <tableColumn id="1" xr3:uid="{E84921A1-798A-4B17-B607-9CB45496C876}" name="Sales_id" dataDxfId="38"/>
    <tableColumn id="2" xr3:uid="{D45A5457-06DF-40BF-9B00-3C6BDD5F26C1}" name="Product_id" dataDxfId="37"/>
    <tableColumn id="8" xr3:uid="{50B3E631-6507-4987-9C1B-7BC2EC85F7D5}" name="Category" dataDxfId="36">
      <calculatedColumnFormula>_xlfn.XLOOKUP(tblSales[[#This Row],[Product_id]],Products!A:A,Products!C:C)</calculatedColumnFormula>
    </tableColumn>
    <tableColumn id="4" xr3:uid="{D06FC687-3C24-4943-859C-A248EB6DA5E4}" name="Customer_id" dataDxfId="35"/>
    <tableColumn id="5" xr3:uid="{FD1885F6-89C1-4730-B6DD-921D1937137C}" name="Customer_name" dataDxfId="34"/>
    <tableColumn id="6" xr3:uid="{84B707A3-BE7D-49E6-B8E6-6D651D6935B4}" name="Date" dataDxfId="33"/>
    <tableColumn id="7" xr3:uid="{C6080F8A-0A9A-4800-BCA8-1A50FE082D8F}" name="Quantity_sold" dataDxfId="32"/>
    <tableColumn id="14" xr3:uid="{BCC383BD-00CF-4313-B054-7206932F21EC}" name="Cost_price" dataDxfId="31">
      <calculatedColumnFormula>_xlfn.XLOOKUP(tblSales[[#This Row],[Product_id]],Products!A:A,Products!E:E)</calculatedColumnFormula>
    </tableColumn>
    <tableColumn id="3" xr3:uid="{F3B45892-4A7D-4188-B428-9DA66FEE35C6}" name="Unit_Price" dataDxfId="30">
      <calculatedColumnFormula>_xlfn.XLOOKUP(tblSales[[#This Row],[Product_id]],Products!A:A,Products!F:F)</calculatedColumnFormula>
    </tableColumn>
    <tableColumn id="9" xr3:uid="{74A8DE6D-BF3F-4B99-9C04-55CC319B8990}" name="Total_amount" dataDxfId="29">
      <calculatedColumnFormula>tblSales[[#This Row],[Quantity_sold]]*tblSales[[#This Row],[Unit_Price]]</calculatedColumnFormula>
    </tableColumn>
    <tableColumn id="10" xr3:uid="{F0FB97A4-5FD6-4632-BCA4-A5C7AB25C537}" name="Payment_method" dataDxfId="28"/>
    <tableColumn id="11" xr3:uid="{5C88AA66-9368-4F16-8347-AC8185C12C0B}" name="Sales_rep" dataDxfId="27"/>
    <tableColumn id="12" xr3:uid="{DD4D77B1-A274-4559-A95E-2537850C17FB}" name="Region" dataDxfId="26"/>
    <tableColumn id="13" xr3:uid="{5240E146-D664-495D-8B0A-7F4ED0A6D5DB}" name="Profit" dataDxfId="25">
      <calculatedColumnFormula>tblSales[[#This Row],[Unit_Price]]*tblSales[[#This Row],[Quantity_sold]]-tblSales[[#This Row],[Cost_price]]*tblSales[[#This Row],[Quantity_sold]]</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B0639E-442E-4205-AE7D-45B4F7E9C8EB}" name="tblProducts" displayName="tblProducts" ref="A1:M107" totalsRowShown="0" headerRowDxfId="24" dataDxfId="23">
  <autoFilter ref="A1:M107" xr:uid="{84B0639E-442E-4205-AE7D-45B4F7E9C8EB}"/>
  <tableColumns count="13">
    <tableColumn id="1" xr3:uid="{FB635334-4E42-49F5-B60C-078A0340E602}" name="Product_id" dataDxfId="22"/>
    <tableColumn id="2" xr3:uid="{E5B5D475-4A67-4E35-BBFC-4B3EEFB86B6D}" name="Product_name" dataDxfId="21"/>
    <tableColumn id="3" xr3:uid="{188B448A-CF0C-4747-A39A-068C97387D6D}" name="Category" dataDxfId="20"/>
    <tableColumn id="4" xr3:uid="{3889A282-6059-41CD-A08E-7F9B40AAA357}" name="Fabrication_date" dataDxfId="19"/>
    <tableColumn id="5" xr3:uid="{2D06532B-57B6-47C5-9DAA-F89EDF5E1A11}" name="Cost_price" dataDxfId="18" dataCellStyle="Currency"/>
    <tableColumn id="6" xr3:uid="{DC096F93-DFF0-42A5-A32F-30EF3CC4E9FC}" name="Unit_price" dataDxfId="17" dataCellStyle="Currency"/>
    <tableColumn id="7" xr3:uid="{90733058-F745-4FEE-A181-E7D5420F8CC1}" name="Quantity_produced" dataDxfId="16"/>
    <tableColumn id="8" xr3:uid="{C73C85BA-6147-401A-BFE5-BD3D72A6669E}" name="Quantity_sold" dataDxfId="15">
      <calculatedColumnFormula>SUMIFS(Sales!G:G,Sales!B:B,tblProducts[[#This Row],[Product_id]])</calculatedColumnFormula>
    </tableColumn>
    <tableColumn id="9" xr3:uid="{11FAA939-76F8-4370-B266-AA650ED3ACDE}" name="Quantity_available" dataDxfId="14">
      <calculatedColumnFormula>G2-H2</calculatedColumnFormula>
    </tableColumn>
    <tableColumn id="10" xr3:uid="{0942799C-60E9-4FA4-8B52-0CA0D151DCC2}" name="Fabricator" dataDxfId="13"/>
    <tableColumn id="11" xr3:uid="{56CC7E76-5BD0-4354-BA67-F3F940BA2057}" name="Warranty" dataDxfId="12"/>
    <tableColumn id="12" xr3:uid="{983056B5-7D46-419D-9B2B-893D1E11D285}" name="Status " dataDxfId="11">
      <calculatedColumnFormula>IF(I2=0,"Not Available","Available")</calculatedColumnFormula>
    </tableColumn>
    <tableColumn id="13" xr3:uid="{818A2AD1-E08D-406F-9B25-E949C7503B18}" name="Restocking" dataDxfId="10">
      <calculatedColumnFormula>IF(I2&lt;50,"Low Stock","Sufficient Stock")</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B0FDA7-7912-4CE1-A2AE-B3F82FE91D5E}" name="tblCustomers" displayName="tblCustomers" ref="A1:G251" totalsRowShown="0" headerRowDxfId="9" dataDxfId="8">
  <autoFilter ref="A1:G251" xr:uid="{42B0FDA7-7912-4CE1-A2AE-B3F82FE91D5E}"/>
  <tableColumns count="7">
    <tableColumn id="1" xr3:uid="{D28FCA59-0360-4FB7-A1F5-6F24CF22B7AD}" name="Customer ID" dataDxfId="7"/>
    <tableColumn id="2" xr3:uid="{F1D38072-7027-482D-955E-2AD25B450A62}" name="Customer Name" dataDxfId="6"/>
    <tableColumn id="3" xr3:uid="{D7622022-8BB6-4D5E-9085-D42670DDB7FF}" name="Region" dataDxfId="5"/>
    <tableColumn id="4" xr3:uid="{EBC3C778-0DF6-455D-8060-ACA6051796AD}" name="Age" dataDxfId="4"/>
    <tableColumn id="5" xr3:uid="{3F5A4EF6-90C5-4CE9-BE15-A4846784C196}" name="Phone Number" dataDxfId="3"/>
    <tableColumn id="6" xr3:uid="{BF670CF6-B76D-4604-A093-74CDC60B0F5A}" name="Customer Type" dataDxfId="2"/>
    <tableColumn id="7" xr3:uid="{50E97DA2-34B2-41B1-BFAF-D23AED1085C0}" name="Purchase Type" dataDxfId="1">
      <calculatedColumnFormula>CHOOSE(RANDBETWEEN(1,2), "Onsite", "Online")</calculatedColumnFormula>
    </tableColumn>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A674FD-10C7-4702-8202-3C50109DCDE7}" name="tblCalendar" displayName="tblCalendar" ref="A1:F365" totalsRowShown="0">
  <autoFilter ref="A1:F365" xr:uid="{93A674FD-10C7-4702-8202-3C50109DCDE7}"/>
  <tableColumns count="6">
    <tableColumn id="1" xr3:uid="{EBD59B80-8E50-4183-AA19-8358796EB239}" name="Date" dataDxfId="0"/>
    <tableColumn id="2" xr3:uid="{02865F30-EC3D-4409-8510-CCFD9A8D9750}" name="Year"/>
    <tableColumn id="3" xr3:uid="{BC0051A8-E4D4-471D-B0F1-31D1AA09ED64}" name="Month"/>
    <tableColumn id="4" xr3:uid="{7F80BD74-0012-44F7-96AF-22E8ED85BAAE}" name="Day"/>
    <tableColumn id="5" xr3:uid="{49E0B7CB-F141-4EB2-8932-634C8D6D460B}" name="Quarter"/>
    <tableColumn id="6" xr3:uid="{F243603D-84E2-4951-9463-7C6A6BECFE68}" name="Week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4.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C8AD-EEF1-4F5F-AD58-C17F30AEC2B8}">
  <dimension ref="A1:N234"/>
  <sheetViews>
    <sheetView topLeftCell="F204" zoomScale="77" zoomScaleNormal="77" workbookViewId="0">
      <selection activeCell="C2" activeCellId="1" sqref="K1:K1048576 C1:C1048576"/>
    </sheetView>
  </sheetViews>
  <sheetFormatPr defaultRowHeight="15" x14ac:dyDescent="0.25"/>
  <cols>
    <col min="1" max="1" width="17.42578125" style="5" customWidth="1"/>
    <col min="2" max="3" width="19.7109375" style="5" customWidth="1"/>
    <col min="4" max="4" width="20" style="5" customWidth="1"/>
    <col min="5" max="5" width="22.7109375" style="5" customWidth="1"/>
    <col min="6" max="6" width="15.85546875" style="5" customWidth="1"/>
    <col min="7" max="7" width="21.28515625" style="5" customWidth="1"/>
    <col min="8" max="8" width="21.28515625" style="23" customWidth="1"/>
    <col min="9" max="9" width="21.28515625" style="10" customWidth="1"/>
    <col min="10" max="10" width="20.42578125" style="10" customWidth="1"/>
    <col min="11" max="11" width="25.42578125" style="5" customWidth="1"/>
    <col min="12" max="12" width="17.5703125" style="5" customWidth="1"/>
    <col min="13" max="13" width="25.7109375" style="5" customWidth="1"/>
    <col min="14" max="14" width="19.7109375" style="5" customWidth="1"/>
    <col min="15" max="16384" width="9.140625" style="5"/>
  </cols>
  <sheetData>
    <row r="1" spans="1:14" s="4" customFormat="1" ht="17.25" x14ac:dyDescent="0.3">
      <c r="A1" s="2" t="s">
        <v>889</v>
      </c>
      <c r="B1" s="2" t="s">
        <v>888</v>
      </c>
      <c r="C1" s="2" t="s">
        <v>0</v>
      </c>
      <c r="D1" s="2" t="s">
        <v>886</v>
      </c>
      <c r="E1" s="2" t="s">
        <v>885</v>
      </c>
      <c r="F1" s="3" t="s">
        <v>913</v>
      </c>
      <c r="G1" s="2" t="s">
        <v>884</v>
      </c>
      <c r="H1" s="24" t="s">
        <v>947</v>
      </c>
      <c r="I1" s="25" t="s">
        <v>929</v>
      </c>
      <c r="J1" s="9" t="s">
        <v>882</v>
      </c>
      <c r="K1" s="2" t="s">
        <v>881</v>
      </c>
      <c r="L1" s="2" t="s">
        <v>880</v>
      </c>
      <c r="M1" s="2" t="s">
        <v>942</v>
      </c>
      <c r="N1" s="2" t="s">
        <v>948</v>
      </c>
    </row>
    <row r="2" spans="1:14" x14ac:dyDescent="0.25">
      <c r="A2" s="5" t="s">
        <v>640</v>
      </c>
      <c r="B2" s="5" t="s">
        <v>89</v>
      </c>
      <c r="C2" t="str">
        <f>_xlfn.XLOOKUP(tblSales[[#This Row],[Product_id]],Products!A:A,Products!C:C)</f>
        <v>Agricultural Equipment</v>
      </c>
      <c r="D2" s="5" t="s">
        <v>512</v>
      </c>
      <c r="E2" s="6" t="s">
        <v>388</v>
      </c>
      <c r="F2" s="7">
        <v>45670</v>
      </c>
      <c r="G2" s="5">
        <v>5</v>
      </c>
      <c r="H2" s="10">
        <f>_xlfn.XLOOKUP(tblSales[[#This Row],[Product_id]],Products!A:A,Products!E:E)</f>
        <v>8500</v>
      </c>
      <c r="I2" s="10">
        <f>_xlfn.XLOOKUP(tblSales[[#This Row],[Product_id]],Products!A:A,Products!F:F)</f>
        <v>15000</v>
      </c>
      <c r="J2" s="10">
        <f>tblSales[[#This Row],[Quantity_sold]]*tblSales[[#This Row],[Unit_Price]]</f>
        <v>75000</v>
      </c>
      <c r="K2" s="5" t="s">
        <v>643</v>
      </c>
      <c r="L2" s="5" t="s">
        <v>651</v>
      </c>
      <c r="M2" s="5" t="s">
        <v>117</v>
      </c>
      <c r="N2" s="10">
        <f>tblSales[[#This Row],[Unit_Price]]*tblSales[[#This Row],[Quantity_sold]]-tblSales[[#This Row],[Cost_price]]*tblSales[[#This Row],[Quantity_sold]]</f>
        <v>32500</v>
      </c>
    </row>
    <row r="3" spans="1:14" x14ac:dyDescent="0.25">
      <c r="A3" s="5" t="s">
        <v>642</v>
      </c>
      <c r="B3" s="5" t="s">
        <v>14</v>
      </c>
      <c r="C3" t="str">
        <f>_xlfn.XLOOKUP(tblSales[[#This Row],[Product_id]],Products!A:A,Products!C:C)</f>
        <v>Agricultural Equipment</v>
      </c>
      <c r="D3" s="5" t="s">
        <v>279</v>
      </c>
      <c r="E3" s="6" t="s">
        <v>280</v>
      </c>
      <c r="F3" s="7">
        <v>45663</v>
      </c>
      <c r="G3" s="5">
        <v>3</v>
      </c>
      <c r="H3" s="10">
        <f>_xlfn.XLOOKUP(tblSales[[#This Row],[Product_id]],Products!A:A,Products!E:E)</f>
        <v>15000</v>
      </c>
      <c r="I3" s="10">
        <f>_xlfn.XLOOKUP(tblSales[[#This Row],[Product_id]],Products!A:A,Products!F:F)</f>
        <v>24000</v>
      </c>
      <c r="J3" s="10">
        <f>tblSales[[#This Row],[Quantity_sold]]*tblSales[[#This Row],[Unit_Price]]</f>
        <v>72000</v>
      </c>
      <c r="K3" s="5" t="s">
        <v>645</v>
      </c>
      <c r="L3" s="5" t="s">
        <v>646</v>
      </c>
      <c r="M3" s="5" t="s">
        <v>117</v>
      </c>
      <c r="N3" s="10">
        <f>tblSales[[#This Row],[Unit_Price]]*tblSales[[#This Row],[Quantity_sold]]-tblSales[[#This Row],[Cost_price]]*tblSales[[#This Row],[Quantity_sold]]</f>
        <v>27000</v>
      </c>
    </row>
    <row r="4" spans="1:14" x14ac:dyDescent="0.25">
      <c r="A4" s="5" t="s">
        <v>644</v>
      </c>
      <c r="B4" s="5" t="s">
        <v>2</v>
      </c>
      <c r="C4" t="str">
        <f>_xlfn.XLOOKUP(tblSales[[#This Row],[Product_id]],Products!A:A,Products!C:C)</f>
        <v>Agricultural Machine</v>
      </c>
      <c r="D4" s="5" t="s">
        <v>393</v>
      </c>
      <c r="E4" s="6" t="s">
        <v>394</v>
      </c>
      <c r="F4" s="7">
        <v>45673</v>
      </c>
      <c r="G4" s="5">
        <v>14</v>
      </c>
      <c r="H4" s="10">
        <f>_xlfn.XLOOKUP(tblSales[[#This Row],[Product_id]],Products!A:A,Products!E:E)</f>
        <v>120000</v>
      </c>
      <c r="I4" s="10">
        <f>_xlfn.XLOOKUP(tblSales[[#This Row],[Product_id]],Products!A:A,Products!F:F)</f>
        <v>165000</v>
      </c>
      <c r="J4" s="10">
        <f>tblSales[[#This Row],[Quantity_sold]]*tblSales[[#This Row],[Unit_Price]]</f>
        <v>2310000</v>
      </c>
      <c r="K4" s="5" t="s">
        <v>641</v>
      </c>
      <c r="L4" s="5" t="s">
        <v>256</v>
      </c>
      <c r="M4" s="5" t="s">
        <v>119</v>
      </c>
      <c r="N4" s="10">
        <f>tblSales[[#This Row],[Unit_Price]]*tblSales[[#This Row],[Quantity_sold]]-tblSales[[#This Row],[Cost_price]]*tblSales[[#This Row],[Quantity_sold]]</f>
        <v>630000</v>
      </c>
    </row>
    <row r="5" spans="1:14" x14ac:dyDescent="0.25">
      <c r="A5" s="5" t="s">
        <v>647</v>
      </c>
      <c r="B5" s="5" t="s">
        <v>28</v>
      </c>
      <c r="C5" t="str">
        <f>_xlfn.XLOOKUP(tblSales[[#This Row],[Product_id]],Products!A:A,Products!C:C)</f>
        <v>Agricultural Equipment</v>
      </c>
      <c r="D5" s="5" t="s">
        <v>583</v>
      </c>
      <c r="E5" s="6" t="s">
        <v>432</v>
      </c>
      <c r="F5" s="7">
        <v>45663</v>
      </c>
      <c r="G5" s="5">
        <v>12</v>
      </c>
      <c r="H5" s="10">
        <f>_xlfn.XLOOKUP(tblSales[[#This Row],[Product_id]],Products!A:A,Products!E:E)</f>
        <v>32000</v>
      </c>
      <c r="I5" s="10">
        <f>_xlfn.XLOOKUP(tblSales[[#This Row],[Product_id]],Products!A:A,Products!F:F)</f>
        <v>48000</v>
      </c>
      <c r="J5" s="10">
        <f>tblSales[[#This Row],[Quantity_sold]]*tblSales[[#This Row],[Unit_Price]]</f>
        <v>576000</v>
      </c>
      <c r="K5" s="5" t="s">
        <v>643</v>
      </c>
      <c r="L5" s="5" t="s">
        <v>646</v>
      </c>
      <c r="M5" s="5" t="s">
        <v>115</v>
      </c>
      <c r="N5" s="10">
        <f>tblSales[[#This Row],[Unit_Price]]*tblSales[[#This Row],[Quantity_sold]]-tblSales[[#This Row],[Cost_price]]*tblSales[[#This Row],[Quantity_sold]]</f>
        <v>192000</v>
      </c>
    </row>
    <row r="6" spans="1:14" x14ac:dyDescent="0.25">
      <c r="A6" s="5" t="s">
        <v>649</v>
      </c>
      <c r="B6" s="5" t="s">
        <v>60</v>
      </c>
      <c r="C6" t="str">
        <f>_xlfn.XLOOKUP(tblSales[[#This Row],[Product_id]],Products!A:A,Products!C:C)</f>
        <v>Safety Equipment</v>
      </c>
      <c r="D6" s="5" t="s">
        <v>337</v>
      </c>
      <c r="E6" s="6" t="s">
        <v>338</v>
      </c>
      <c r="F6" s="7">
        <v>45685</v>
      </c>
      <c r="G6" s="5">
        <v>10</v>
      </c>
      <c r="H6" s="10">
        <f>_xlfn.XLOOKUP(tblSales[[#This Row],[Product_id]],Products!A:A,Products!E:E)</f>
        <v>35000</v>
      </c>
      <c r="I6" s="10">
        <f>_xlfn.XLOOKUP(tblSales[[#This Row],[Product_id]],Products!A:A,Products!F:F)</f>
        <v>55000</v>
      </c>
      <c r="J6" s="10">
        <f>tblSales[[#This Row],[Quantity_sold]]*tblSales[[#This Row],[Unit_Price]]</f>
        <v>550000</v>
      </c>
      <c r="K6" s="5" t="s">
        <v>645</v>
      </c>
      <c r="L6" s="5" t="s">
        <v>648</v>
      </c>
      <c r="M6" s="5" t="s">
        <v>114</v>
      </c>
      <c r="N6" s="10">
        <f>tblSales[[#This Row],[Unit_Price]]*tblSales[[#This Row],[Quantity_sold]]-tblSales[[#This Row],[Cost_price]]*tblSales[[#This Row],[Quantity_sold]]</f>
        <v>200000</v>
      </c>
    </row>
    <row r="7" spans="1:14" x14ac:dyDescent="0.25">
      <c r="A7" s="5" t="s">
        <v>650</v>
      </c>
      <c r="B7" s="5" t="s">
        <v>47</v>
      </c>
      <c r="C7" t="str">
        <f>_xlfn.XLOOKUP(tblSales[[#This Row],[Product_id]],Products!A:A,Products!C:C)</f>
        <v>Agricultural Machine</v>
      </c>
      <c r="D7" s="5" t="s">
        <v>613</v>
      </c>
      <c r="E7" s="6" t="s">
        <v>554</v>
      </c>
      <c r="F7" s="7">
        <v>45658</v>
      </c>
      <c r="G7" s="5">
        <v>17</v>
      </c>
      <c r="H7" s="10">
        <f>_xlfn.XLOOKUP(tblSales[[#This Row],[Product_id]],Products!A:A,Products!E:E)</f>
        <v>155000</v>
      </c>
      <c r="I7" s="10">
        <f>_xlfn.XLOOKUP(tblSales[[#This Row],[Product_id]],Products!A:A,Products!F:F)</f>
        <v>215000</v>
      </c>
      <c r="J7" s="10">
        <f>tblSales[[#This Row],[Quantity_sold]]*tblSales[[#This Row],[Unit_Price]]</f>
        <v>3655000</v>
      </c>
      <c r="K7" s="5" t="s">
        <v>641</v>
      </c>
      <c r="L7" s="5" t="s">
        <v>651</v>
      </c>
      <c r="M7" s="5" t="s">
        <v>879</v>
      </c>
      <c r="N7" s="10">
        <f>tblSales[[#This Row],[Unit_Price]]*tblSales[[#This Row],[Quantity_sold]]-tblSales[[#This Row],[Cost_price]]*tblSales[[#This Row],[Quantity_sold]]</f>
        <v>1020000</v>
      </c>
    </row>
    <row r="8" spans="1:14" x14ac:dyDescent="0.25">
      <c r="A8" s="5" t="s">
        <v>652</v>
      </c>
      <c r="B8" s="5" t="s">
        <v>28</v>
      </c>
      <c r="C8" t="str">
        <f>_xlfn.XLOOKUP(tblSales[[#This Row],[Product_id]],Products!A:A,Products!C:C)</f>
        <v>Agricultural Equipment</v>
      </c>
      <c r="D8" s="5" t="s">
        <v>602</v>
      </c>
      <c r="E8" s="6" t="s">
        <v>543</v>
      </c>
      <c r="F8" s="7">
        <v>45681</v>
      </c>
      <c r="G8" s="5">
        <v>17</v>
      </c>
      <c r="H8" s="10">
        <f>_xlfn.XLOOKUP(tblSales[[#This Row],[Product_id]],Products!A:A,Products!E:E)</f>
        <v>32000</v>
      </c>
      <c r="I8" s="10">
        <f>_xlfn.XLOOKUP(tblSales[[#This Row],[Product_id]],Products!A:A,Products!F:F)</f>
        <v>48000</v>
      </c>
      <c r="J8" s="10">
        <f>tblSales[[#This Row],[Quantity_sold]]*tblSales[[#This Row],[Unit_Price]]</f>
        <v>816000</v>
      </c>
      <c r="K8" s="5" t="s">
        <v>641</v>
      </c>
      <c r="L8" s="5" t="s">
        <v>256</v>
      </c>
      <c r="M8" s="5" t="s">
        <v>879</v>
      </c>
      <c r="N8" s="10">
        <f>tblSales[[#This Row],[Unit_Price]]*tblSales[[#This Row],[Quantity_sold]]-tblSales[[#This Row],[Cost_price]]*tblSales[[#This Row],[Quantity_sold]]</f>
        <v>272000</v>
      </c>
    </row>
    <row r="9" spans="1:14" x14ac:dyDescent="0.25">
      <c r="A9" s="5" t="s">
        <v>653</v>
      </c>
      <c r="B9" s="5" t="s">
        <v>94</v>
      </c>
      <c r="C9" t="str">
        <f>_xlfn.XLOOKUP(tblSales[[#This Row],[Product_id]],Products!A:A,Products!C:C)</f>
        <v>Processing Equipment</v>
      </c>
      <c r="D9" s="5" t="s">
        <v>632</v>
      </c>
      <c r="E9" s="6" t="s">
        <v>296</v>
      </c>
      <c r="F9" s="7">
        <v>45664</v>
      </c>
      <c r="G9" s="5">
        <v>6</v>
      </c>
      <c r="H9" s="10">
        <f>_xlfn.XLOOKUP(tblSales[[#This Row],[Product_id]],Products!A:A,Products!E:E)</f>
        <v>275000</v>
      </c>
      <c r="I9" s="10">
        <f>_xlfn.XLOOKUP(tblSales[[#This Row],[Product_id]],Products!A:A,Products!F:F)</f>
        <v>385000</v>
      </c>
      <c r="J9" s="10">
        <f>tblSales[[#This Row],[Quantity_sold]]*tblSales[[#This Row],[Unit_Price]]</f>
        <v>2310000</v>
      </c>
      <c r="K9" s="5" t="s">
        <v>643</v>
      </c>
      <c r="L9" s="5" t="s">
        <v>651</v>
      </c>
      <c r="M9" s="5" t="s">
        <v>116</v>
      </c>
      <c r="N9" s="10">
        <f>tblSales[[#This Row],[Unit_Price]]*tblSales[[#This Row],[Quantity_sold]]-tblSales[[#This Row],[Cost_price]]*tblSales[[#This Row],[Quantity_sold]]</f>
        <v>660000</v>
      </c>
    </row>
    <row r="10" spans="1:14" x14ac:dyDescent="0.25">
      <c r="A10" s="5" t="s">
        <v>654</v>
      </c>
      <c r="B10" s="5" t="s">
        <v>55</v>
      </c>
      <c r="C10" t="str">
        <f>_xlfn.XLOOKUP(tblSales[[#This Row],[Product_id]],Products!A:A,Products!C:C)</f>
        <v>Storage Equipment</v>
      </c>
      <c r="D10" s="5" t="s">
        <v>319</v>
      </c>
      <c r="E10" s="6" t="s">
        <v>320</v>
      </c>
      <c r="F10" s="7">
        <v>45688</v>
      </c>
      <c r="G10" s="5">
        <v>20</v>
      </c>
      <c r="H10" s="10">
        <f>_xlfn.XLOOKUP(tblSales[[#This Row],[Product_id]],Products!A:A,Products!E:E)</f>
        <v>340000</v>
      </c>
      <c r="I10" s="10">
        <f>_xlfn.XLOOKUP(tblSales[[#This Row],[Product_id]],Products!A:A,Products!F:F)</f>
        <v>465000</v>
      </c>
      <c r="J10" s="10">
        <f>tblSales[[#This Row],[Quantity_sold]]*tblSales[[#This Row],[Unit_Price]]</f>
        <v>9300000</v>
      </c>
      <c r="K10" s="5" t="s">
        <v>645</v>
      </c>
      <c r="L10" s="5" t="s">
        <v>270</v>
      </c>
      <c r="M10" s="5" t="s">
        <v>117</v>
      </c>
      <c r="N10" s="10">
        <f>tblSales[[#This Row],[Unit_Price]]*tblSales[[#This Row],[Quantity_sold]]-tblSales[[#This Row],[Cost_price]]*tblSales[[#This Row],[Quantity_sold]]</f>
        <v>2500000</v>
      </c>
    </row>
    <row r="11" spans="1:14" x14ac:dyDescent="0.25">
      <c r="A11" s="5" t="s">
        <v>655</v>
      </c>
      <c r="B11" s="5" t="s">
        <v>103</v>
      </c>
      <c r="C11" t="str">
        <f>_xlfn.XLOOKUP(tblSales[[#This Row],[Product_id]],Products!A:A,Products!C:C)</f>
        <v>Harvesting Equipment</v>
      </c>
      <c r="D11" s="5" t="s">
        <v>523</v>
      </c>
      <c r="E11" s="6" t="s">
        <v>410</v>
      </c>
      <c r="F11" s="7">
        <v>45677</v>
      </c>
      <c r="G11" s="5">
        <v>14</v>
      </c>
      <c r="H11" s="10">
        <f>_xlfn.XLOOKUP(tblSales[[#This Row],[Product_id]],Products!A:A,Products!E:E)</f>
        <v>220000</v>
      </c>
      <c r="I11" s="10">
        <f>_xlfn.XLOOKUP(tblSales[[#This Row],[Product_id]],Products!A:A,Products!F:F)</f>
        <v>310000</v>
      </c>
      <c r="J11" s="10">
        <f>tblSales[[#This Row],[Quantity_sold]]*tblSales[[#This Row],[Unit_Price]]</f>
        <v>4340000</v>
      </c>
      <c r="K11" s="5" t="s">
        <v>641</v>
      </c>
      <c r="L11" s="5" t="s">
        <v>256</v>
      </c>
      <c r="M11" s="5" t="s">
        <v>119</v>
      </c>
      <c r="N11" s="10">
        <f>tblSales[[#This Row],[Unit_Price]]*tblSales[[#This Row],[Quantity_sold]]-tblSales[[#This Row],[Cost_price]]*tblSales[[#This Row],[Quantity_sold]]</f>
        <v>1260000</v>
      </c>
    </row>
    <row r="12" spans="1:14" x14ac:dyDescent="0.25">
      <c r="A12" s="5" t="s">
        <v>656</v>
      </c>
      <c r="B12" s="5" t="s">
        <v>49</v>
      </c>
      <c r="C12" t="str">
        <f>_xlfn.XLOOKUP(tblSales[[#This Row],[Product_id]],Products!A:A,Products!C:C)</f>
        <v>Agricultural Machine</v>
      </c>
      <c r="D12" s="5" t="s">
        <v>581</v>
      </c>
      <c r="E12" s="6" t="s">
        <v>428</v>
      </c>
      <c r="F12" s="7">
        <v>45663</v>
      </c>
      <c r="G12" s="5">
        <v>15</v>
      </c>
      <c r="H12" s="10">
        <f>_xlfn.XLOOKUP(tblSales[[#This Row],[Product_id]],Products!A:A,Products!E:E)</f>
        <v>115000</v>
      </c>
      <c r="I12" s="10">
        <f>_xlfn.XLOOKUP(tblSales[[#This Row],[Product_id]],Products!A:A,Products!F:F)</f>
        <v>165000</v>
      </c>
      <c r="J12" s="10">
        <f>tblSales[[#This Row],[Quantity_sold]]*tblSales[[#This Row],[Unit_Price]]</f>
        <v>2475000</v>
      </c>
      <c r="K12" s="5" t="s">
        <v>643</v>
      </c>
      <c r="L12" s="5" t="s">
        <v>270</v>
      </c>
      <c r="M12" s="5" t="s">
        <v>115</v>
      </c>
      <c r="N12" s="10">
        <f>tblSales[[#This Row],[Unit_Price]]*tblSales[[#This Row],[Quantity_sold]]-tblSales[[#This Row],[Cost_price]]*tblSales[[#This Row],[Quantity_sold]]</f>
        <v>750000</v>
      </c>
    </row>
    <row r="13" spans="1:14" x14ac:dyDescent="0.25">
      <c r="A13" s="5" t="s">
        <v>657</v>
      </c>
      <c r="B13" s="5" t="s">
        <v>43</v>
      </c>
      <c r="C13" t="str">
        <f>_xlfn.XLOOKUP(tblSales[[#This Row],[Product_id]],Products!A:A,Products!C:C)</f>
        <v>Agricultural Machine</v>
      </c>
      <c r="D13" s="5" t="s">
        <v>616</v>
      </c>
      <c r="E13" s="6" t="s">
        <v>557</v>
      </c>
      <c r="F13" s="7">
        <v>45687</v>
      </c>
      <c r="G13" s="5">
        <v>4</v>
      </c>
      <c r="H13" s="10">
        <f>_xlfn.XLOOKUP(tblSales[[#This Row],[Product_id]],Products!A:A,Products!E:E)</f>
        <v>620000</v>
      </c>
      <c r="I13" s="10">
        <f>_xlfn.XLOOKUP(tblSales[[#This Row],[Product_id]],Products!A:A,Products!F:F)</f>
        <v>820000</v>
      </c>
      <c r="J13" s="10">
        <f>tblSales[[#This Row],[Quantity_sold]]*tblSales[[#This Row],[Unit_Price]]</f>
        <v>3280000</v>
      </c>
      <c r="K13" s="5" t="s">
        <v>641</v>
      </c>
      <c r="L13" s="5" t="s">
        <v>648</v>
      </c>
      <c r="M13" s="5" t="s">
        <v>119</v>
      </c>
      <c r="N13" s="10">
        <f>tblSales[[#This Row],[Unit_Price]]*tblSales[[#This Row],[Quantity_sold]]-tblSales[[#This Row],[Cost_price]]*tblSales[[#This Row],[Quantity_sold]]</f>
        <v>800000</v>
      </c>
    </row>
    <row r="14" spans="1:14" x14ac:dyDescent="0.25">
      <c r="A14" s="5" t="s">
        <v>658</v>
      </c>
      <c r="B14" s="5" t="s">
        <v>90</v>
      </c>
      <c r="C14" t="str">
        <f>_xlfn.XLOOKUP(tblSales[[#This Row],[Product_id]],Products!A:A,Products!C:C)</f>
        <v>Power Equipment</v>
      </c>
      <c r="D14" s="5" t="s">
        <v>343</v>
      </c>
      <c r="E14" s="6" t="s">
        <v>344</v>
      </c>
      <c r="F14" s="7">
        <v>45661</v>
      </c>
      <c r="G14" s="5">
        <v>20</v>
      </c>
      <c r="H14" s="10">
        <f>_xlfn.XLOOKUP(tblSales[[#This Row],[Product_id]],Products!A:A,Products!E:E)</f>
        <v>29000</v>
      </c>
      <c r="I14" s="10">
        <f>_xlfn.XLOOKUP(tblSales[[#This Row],[Product_id]],Products!A:A,Products!F:F)</f>
        <v>46000</v>
      </c>
      <c r="J14" s="10">
        <f>tblSales[[#This Row],[Quantity_sold]]*tblSales[[#This Row],[Unit_Price]]</f>
        <v>920000</v>
      </c>
      <c r="K14" s="5" t="s">
        <v>645</v>
      </c>
      <c r="L14" s="5" t="s">
        <v>646</v>
      </c>
      <c r="M14" s="5" t="s">
        <v>115</v>
      </c>
      <c r="N14" s="10">
        <f>tblSales[[#This Row],[Unit_Price]]*tblSales[[#This Row],[Quantity_sold]]-tblSales[[#This Row],[Cost_price]]*tblSales[[#This Row],[Quantity_sold]]</f>
        <v>340000</v>
      </c>
    </row>
    <row r="15" spans="1:14" x14ac:dyDescent="0.25">
      <c r="A15" s="5" t="s">
        <v>659</v>
      </c>
      <c r="B15" s="5" t="s">
        <v>70</v>
      </c>
      <c r="C15" t="str">
        <f>_xlfn.XLOOKUP(tblSales[[#This Row],[Product_id]],Products!A:A,Products!C:C)</f>
        <v>Storage Equipment</v>
      </c>
      <c r="D15" s="5" t="s">
        <v>482</v>
      </c>
      <c r="E15" s="6" t="s">
        <v>328</v>
      </c>
      <c r="F15" s="7">
        <v>45680</v>
      </c>
      <c r="G15" s="5">
        <v>15</v>
      </c>
      <c r="H15" s="10">
        <f>_xlfn.XLOOKUP(tblSales[[#This Row],[Product_id]],Products!A:A,Products!E:E)</f>
        <v>210000</v>
      </c>
      <c r="I15" s="10">
        <f>_xlfn.XLOOKUP(tblSales[[#This Row],[Product_id]],Products!A:A,Products!F:F)</f>
        <v>295000</v>
      </c>
      <c r="J15" s="10">
        <f>tblSales[[#This Row],[Quantity_sold]]*tblSales[[#This Row],[Unit_Price]]</f>
        <v>4425000</v>
      </c>
      <c r="K15" s="5" t="s">
        <v>643</v>
      </c>
      <c r="L15" s="5" t="s">
        <v>648</v>
      </c>
      <c r="M15" s="5" t="s">
        <v>115</v>
      </c>
      <c r="N15" s="10">
        <f>tblSales[[#This Row],[Unit_Price]]*tblSales[[#This Row],[Quantity_sold]]-tblSales[[#This Row],[Cost_price]]*tblSales[[#This Row],[Quantity_sold]]</f>
        <v>1275000</v>
      </c>
    </row>
    <row r="16" spans="1:14" x14ac:dyDescent="0.25">
      <c r="A16" s="5" t="s">
        <v>660</v>
      </c>
      <c r="B16" s="5" t="s">
        <v>50</v>
      </c>
      <c r="C16" t="str">
        <f>_xlfn.XLOOKUP(tblSales[[#This Row],[Product_id]],Products!A:A,Products!C:C)</f>
        <v>Storage Equipment</v>
      </c>
      <c r="D16" s="5" t="s">
        <v>624</v>
      </c>
      <c r="E16" s="6" t="s">
        <v>565</v>
      </c>
      <c r="F16" s="7">
        <v>45679</v>
      </c>
      <c r="G16" s="5">
        <v>14</v>
      </c>
      <c r="H16" s="10">
        <f>_xlfn.XLOOKUP(tblSales[[#This Row],[Product_id]],Products!A:A,Products!E:E)</f>
        <v>38000</v>
      </c>
      <c r="I16" s="10">
        <f>_xlfn.XLOOKUP(tblSales[[#This Row],[Product_id]],Products!A:A,Products!F:F)</f>
        <v>58000</v>
      </c>
      <c r="J16" s="10">
        <f>tblSales[[#This Row],[Quantity_sold]]*tblSales[[#This Row],[Unit_Price]]</f>
        <v>812000</v>
      </c>
      <c r="K16" s="5" t="s">
        <v>645</v>
      </c>
      <c r="L16" s="5" t="s">
        <v>256</v>
      </c>
      <c r="M16" s="5" t="s">
        <v>879</v>
      </c>
      <c r="N16" s="10">
        <f>tblSales[[#This Row],[Unit_Price]]*tblSales[[#This Row],[Quantity_sold]]-tblSales[[#This Row],[Cost_price]]*tblSales[[#This Row],[Quantity_sold]]</f>
        <v>280000</v>
      </c>
    </row>
    <row r="17" spans="1:14" x14ac:dyDescent="0.25">
      <c r="A17" s="5" t="s">
        <v>661</v>
      </c>
      <c r="B17" s="5" t="s">
        <v>60</v>
      </c>
      <c r="C17" t="str">
        <f>_xlfn.XLOOKUP(tblSales[[#This Row],[Product_id]],Products!A:A,Products!C:C)</f>
        <v>Safety Equipment</v>
      </c>
      <c r="D17" s="5" t="s">
        <v>586</v>
      </c>
      <c r="E17" s="6" t="s">
        <v>527</v>
      </c>
      <c r="F17" s="7">
        <v>45682</v>
      </c>
      <c r="G17" s="5">
        <v>5</v>
      </c>
      <c r="H17" s="10">
        <f>_xlfn.XLOOKUP(tblSales[[#This Row],[Product_id]],Products!A:A,Products!E:E)</f>
        <v>35000</v>
      </c>
      <c r="I17" s="10">
        <f>_xlfn.XLOOKUP(tblSales[[#This Row],[Product_id]],Products!A:A,Products!F:F)</f>
        <v>55000</v>
      </c>
      <c r="J17" s="10">
        <f>tblSales[[#This Row],[Quantity_sold]]*tblSales[[#This Row],[Unit_Price]]</f>
        <v>275000</v>
      </c>
      <c r="K17" s="5" t="s">
        <v>641</v>
      </c>
      <c r="L17" s="5" t="s">
        <v>252</v>
      </c>
      <c r="M17" s="5" t="s">
        <v>115</v>
      </c>
      <c r="N17" s="10">
        <f>tblSales[[#This Row],[Unit_Price]]*tblSales[[#This Row],[Quantity_sold]]-tblSales[[#This Row],[Cost_price]]*tblSales[[#This Row],[Quantity_sold]]</f>
        <v>100000</v>
      </c>
    </row>
    <row r="18" spans="1:14" x14ac:dyDescent="0.25">
      <c r="A18" s="5" t="s">
        <v>662</v>
      </c>
      <c r="B18" s="5" t="s">
        <v>35</v>
      </c>
      <c r="C18" t="str">
        <f>_xlfn.XLOOKUP(tblSales[[#This Row],[Product_id]],Products!A:A,Products!C:C)</f>
        <v>Processing Equipment</v>
      </c>
      <c r="D18" s="5" t="s">
        <v>615</v>
      </c>
      <c r="E18" s="6" t="s">
        <v>556</v>
      </c>
      <c r="F18" s="7">
        <v>45681</v>
      </c>
      <c r="G18" s="5">
        <v>1</v>
      </c>
      <c r="H18" s="10">
        <f>_xlfn.XLOOKUP(tblSales[[#This Row],[Product_id]],Products!A:A,Products!E:E)</f>
        <v>47000</v>
      </c>
      <c r="I18" s="10">
        <f>_xlfn.XLOOKUP(tblSales[[#This Row],[Product_id]],Products!A:A,Products!F:F)</f>
        <v>72000</v>
      </c>
      <c r="J18" s="10">
        <f>tblSales[[#This Row],[Quantity_sold]]*tblSales[[#This Row],[Unit_Price]]</f>
        <v>72000</v>
      </c>
      <c r="K18" s="5" t="s">
        <v>643</v>
      </c>
      <c r="L18" s="5" t="s">
        <v>252</v>
      </c>
      <c r="M18" s="5" t="s">
        <v>116</v>
      </c>
      <c r="N18" s="10">
        <f>tblSales[[#This Row],[Unit_Price]]*tblSales[[#This Row],[Quantity_sold]]-tblSales[[#This Row],[Cost_price]]*tblSales[[#This Row],[Quantity_sold]]</f>
        <v>25000</v>
      </c>
    </row>
    <row r="19" spans="1:14" x14ac:dyDescent="0.25">
      <c r="A19" s="5" t="s">
        <v>663</v>
      </c>
      <c r="B19" s="5" t="s">
        <v>50</v>
      </c>
      <c r="C19" t="str">
        <f>_xlfn.XLOOKUP(tblSales[[#This Row],[Product_id]],Products!A:A,Products!C:C)</f>
        <v>Storage Equipment</v>
      </c>
      <c r="D19" s="5" t="s">
        <v>591</v>
      </c>
      <c r="E19" s="6" t="s">
        <v>532</v>
      </c>
      <c r="F19" s="7">
        <v>45704</v>
      </c>
      <c r="G19" s="5">
        <v>13</v>
      </c>
      <c r="H19" s="10">
        <f>_xlfn.XLOOKUP(tblSales[[#This Row],[Product_id]],Products!A:A,Products!E:E)</f>
        <v>38000</v>
      </c>
      <c r="I19" s="10">
        <f>_xlfn.XLOOKUP(tblSales[[#This Row],[Product_id]],Products!A:A,Products!F:F)</f>
        <v>58000</v>
      </c>
      <c r="J19" s="10">
        <f>tblSales[[#This Row],[Quantity_sold]]*tblSales[[#This Row],[Unit_Price]]</f>
        <v>754000</v>
      </c>
      <c r="K19" s="5" t="s">
        <v>645</v>
      </c>
      <c r="L19" s="5" t="s">
        <v>646</v>
      </c>
      <c r="M19" s="5" t="s">
        <v>114</v>
      </c>
      <c r="N19" s="10">
        <f>tblSales[[#This Row],[Unit_Price]]*tblSales[[#This Row],[Quantity_sold]]-tblSales[[#This Row],[Cost_price]]*tblSales[[#This Row],[Quantity_sold]]</f>
        <v>260000</v>
      </c>
    </row>
    <row r="20" spans="1:14" x14ac:dyDescent="0.25">
      <c r="A20" s="5" t="s">
        <v>664</v>
      </c>
      <c r="B20" s="5" t="s">
        <v>64</v>
      </c>
      <c r="C20" t="str">
        <f>_xlfn.XLOOKUP(tblSales[[#This Row],[Product_id]],Products!A:A,Products!C:C)</f>
        <v>Power Equipment</v>
      </c>
      <c r="D20" s="5" t="s">
        <v>526</v>
      </c>
      <c r="E20" s="6" t="s">
        <v>416</v>
      </c>
      <c r="F20" s="7">
        <v>45698</v>
      </c>
      <c r="G20" s="5">
        <v>15</v>
      </c>
      <c r="H20" s="10">
        <f>_xlfn.XLOOKUP(tblSales[[#This Row],[Product_id]],Products!A:A,Products!E:E)</f>
        <v>29000</v>
      </c>
      <c r="I20" s="10">
        <f>_xlfn.XLOOKUP(tblSales[[#This Row],[Product_id]],Products!A:A,Products!F:F)</f>
        <v>46000</v>
      </c>
      <c r="J20" s="10">
        <f>tblSales[[#This Row],[Quantity_sold]]*tblSales[[#This Row],[Unit_Price]]</f>
        <v>690000</v>
      </c>
      <c r="K20" s="5" t="s">
        <v>643</v>
      </c>
      <c r="L20" s="5" t="s">
        <v>648</v>
      </c>
      <c r="M20" s="5" t="s">
        <v>114</v>
      </c>
      <c r="N20" s="10">
        <f>tblSales[[#This Row],[Unit_Price]]*tblSales[[#This Row],[Quantity_sold]]-tblSales[[#This Row],[Cost_price]]*tblSales[[#This Row],[Quantity_sold]]</f>
        <v>255000</v>
      </c>
    </row>
    <row r="21" spans="1:14" x14ac:dyDescent="0.25">
      <c r="A21" s="5" t="s">
        <v>665</v>
      </c>
      <c r="B21" s="5" t="s">
        <v>68</v>
      </c>
      <c r="C21" t="str">
        <f>_xlfn.XLOOKUP(tblSales[[#This Row],[Product_id]],Products!A:A,Products!C:C)</f>
        <v>Agricultural Equipment</v>
      </c>
      <c r="D21" s="5" t="s">
        <v>478</v>
      </c>
      <c r="E21" s="6" t="s">
        <v>320</v>
      </c>
      <c r="F21" s="7">
        <v>45701</v>
      </c>
      <c r="G21" s="5">
        <v>9</v>
      </c>
      <c r="H21" s="10">
        <f>_xlfn.XLOOKUP(tblSales[[#This Row],[Product_id]],Products!A:A,Products!E:E)</f>
        <v>9500</v>
      </c>
      <c r="I21" s="10">
        <f>_xlfn.XLOOKUP(tblSales[[#This Row],[Product_id]],Products!A:A,Products!F:F)</f>
        <v>16500</v>
      </c>
      <c r="J21" s="10">
        <f>tblSales[[#This Row],[Quantity_sold]]*tblSales[[#This Row],[Unit_Price]]</f>
        <v>148500</v>
      </c>
      <c r="K21" s="5" t="s">
        <v>641</v>
      </c>
      <c r="L21" s="5" t="s">
        <v>252</v>
      </c>
      <c r="M21" s="5" t="s">
        <v>116</v>
      </c>
      <c r="N21" s="10">
        <f>tblSales[[#This Row],[Unit_Price]]*tblSales[[#This Row],[Quantity_sold]]-tblSales[[#This Row],[Cost_price]]*tblSales[[#This Row],[Quantity_sold]]</f>
        <v>63000</v>
      </c>
    </row>
    <row r="22" spans="1:14" x14ac:dyDescent="0.25">
      <c r="A22" s="5" t="s">
        <v>666</v>
      </c>
      <c r="B22" s="5" t="s">
        <v>57</v>
      </c>
      <c r="C22" t="str">
        <f>_xlfn.XLOOKUP(tblSales[[#This Row],[Product_id]],Products!A:A,Products!C:C)</f>
        <v>Fabrication Tools</v>
      </c>
      <c r="D22" s="5" t="s">
        <v>590</v>
      </c>
      <c r="E22" s="6" t="s">
        <v>531</v>
      </c>
      <c r="F22" s="7">
        <v>45713</v>
      </c>
      <c r="G22" s="5">
        <v>11</v>
      </c>
      <c r="H22" s="10">
        <f>_xlfn.XLOOKUP(tblSales[[#This Row],[Product_id]],Products!A:A,Products!E:E)</f>
        <v>18000</v>
      </c>
      <c r="I22" s="10">
        <f>_xlfn.XLOOKUP(tblSales[[#This Row],[Product_id]],Products!A:A,Products!F:F)</f>
        <v>30000</v>
      </c>
      <c r="J22" s="10">
        <f>tblSales[[#This Row],[Quantity_sold]]*tblSales[[#This Row],[Unit_Price]]</f>
        <v>330000</v>
      </c>
      <c r="K22" s="5" t="s">
        <v>641</v>
      </c>
      <c r="L22" s="5" t="s">
        <v>648</v>
      </c>
      <c r="M22" s="5" t="s">
        <v>117</v>
      </c>
      <c r="N22" s="10">
        <f>tblSales[[#This Row],[Unit_Price]]*tblSales[[#This Row],[Quantity_sold]]-tblSales[[#This Row],[Cost_price]]*tblSales[[#This Row],[Quantity_sold]]</f>
        <v>132000</v>
      </c>
    </row>
    <row r="23" spans="1:14" x14ac:dyDescent="0.25">
      <c r="A23" s="5" t="s">
        <v>667</v>
      </c>
      <c r="B23" s="5" t="s">
        <v>35</v>
      </c>
      <c r="C23" t="str">
        <f>_xlfn.XLOOKUP(tblSales[[#This Row],[Product_id]],Products!A:A,Products!C:C)</f>
        <v>Processing Equipment</v>
      </c>
      <c r="D23" s="5" t="s">
        <v>265</v>
      </c>
      <c r="E23" s="6" t="s">
        <v>266</v>
      </c>
      <c r="F23" s="7">
        <v>45707</v>
      </c>
      <c r="G23" s="5">
        <v>16</v>
      </c>
      <c r="H23" s="10">
        <f>_xlfn.XLOOKUP(tblSales[[#This Row],[Product_id]],Products!A:A,Products!E:E)</f>
        <v>47000</v>
      </c>
      <c r="I23" s="10">
        <f>_xlfn.XLOOKUP(tblSales[[#This Row],[Product_id]],Products!A:A,Products!F:F)</f>
        <v>72000</v>
      </c>
      <c r="J23" s="10">
        <f>tblSales[[#This Row],[Quantity_sold]]*tblSales[[#This Row],[Unit_Price]]</f>
        <v>1152000</v>
      </c>
      <c r="K23" s="5" t="s">
        <v>645</v>
      </c>
      <c r="L23" s="5" t="s">
        <v>646</v>
      </c>
      <c r="M23" s="5" t="s">
        <v>114</v>
      </c>
      <c r="N23" s="10">
        <f>tblSales[[#This Row],[Unit_Price]]*tblSales[[#This Row],[Quantity_sold]]-tblSales[[#This Row],[Cost_price]]*tblSales[[#This Row],[Quantity_sold]]</f>
        <v>400000</v>
      </c>
    </row>
    <row r="24" spans="1:14" x14ac:dyDescent="0.25">
      <c r="A24" s="5" t="s">
        <v>668</v>
      </c>
      <c r="B24" s="5" t="s">
        <v>106</v>
      </c>
      <c r="C24" t="str">
        <f>_xlfn.XLOOKUP(tblSales[[#This Row],[Product_id]],Products!A:A,Products!C:C)</f>
        <v>Agricultural Equipment</v>
      </c>
      <c r="D24" s="5" t="s">
        <v>498</v>
      </c>
      <c r="E24" s="6" t="s">
        <v>360</v>
      </c>
      <c r="F24" s="7">
        <v>45700</v>
      </c>
      <c r="G24" s="5">
        <v>18</v>
      </c>
      <c r="H24" s="10">
        <f>_xlfn.XLOOKUP(tblSales[[#This Row],[Product_id]],Products!A:A,Products!E:E)</f>
        <v>120000</v>
      </c>
      <c r="I24" s="10">
        <f>_xlfn.XLOOKUP(tblSales[[#This Row],[Product_id]],Products!A:A,Products!F:F)</f>
        <v>180000</v>
      </c>
      <c r="J24" s="10">
        <f>tblSales[[#This Row],[Quantity_sold]]*tblSales[[#This Row],[Unit_Price]]</f>
        <v>3240000</v>
      </c>
      <c r="K24" s="5" t="s">
        <v>645</v>
      </c>
      <c r="L24" s="5" t="s">
        <v>651</v>
      </c>
      <c r="M24" s="5" t="s">
        <v>115</v>
      </c>
      <c r="N24" s="10">
        <f>tblSales[[#This Row],[Unit_Price]]*tblSales[[#This Row],[Quantity_sold]]-tblSales[[#This Row],[Cost_price]]*tblSales[[#This Row],[Quantity_sold]]</f>
        <v>1080000</v>
      </c>
    </row>
    <row r="25" spans="1:14" x14ac:dyDescent="0.25">
      <c r="A25" s="5" t="s">
        <v>669</v>
      </c>
      <c r="B25" s="5" t="s">
        <v>50</v>
      </c>
      <c r="C25" t="str">
        <f>_xlfn.XLOOKUP(tblSales[[#This Row],[Product_id]],Products!A:A,Products!C:C)</f>
        <v>Storage Equipment</v>
      </c>
      <c r="D25" s="5" t="s">
        <v>624</v>
      </c>
      <c r="E25" s="6" t="s">
        <v>565</v>
      </c>
      <c r="F25" s="7">
        <v>45700</v>
      </c>
      <c r="G25" s="5">
        <v>13</v>
      </c>
      <c r="H25" s="10">
        <f>_xlfn.XLOOKUP(tblSales[[#This Row],[Product_id]],Products!A:A,Products!E:E)</f>
        <v>38000</v>
      </c>
      <c r="I25" s="10">
        <f>_xlfn.XLOOKUP(tblSales[[#This Row],[Product_id]],Products!A:A,Products!F:F)</f>
        <v>58000</v>
      </c>
      <c r="J25" s="10">
        <f>tblSales[[#This Row],[Quantity_sold]]*tblSales[[#This Row],[Unit_Price]]</f>
        <v>754000</v>
      </c>
      <c r="K25" s="5" t="s">
        <v>643</v>
      </c>
      <c r="L25" s="5" t="s">
        <v>252</v>
      </c>
      <c r="M25" s="5" t="s">
        <v>879</v>
      </c>
      <c r="N25" s="10">
        <f>tblSales[[#This Row],[Unit_Price]]*tblSales[[#This Row],[Quantity_sold]]-tblSales[[#This Row],[Cost_price]]*tblSales[[#This Row],[Quantity_sold]]</f>
        <v>260000</v>
      </c>
    </row>
    <row r="26" spans="1:14" x14ac:dyDescent="0.25">
      <c r="A26" s="5" t="s">
        <v>670</v>
      </c>
      <c r="B26" s="5" t="s">
        <v>102</v>
      </c>
      <c r="C26" t="str">
        <f>_xlfn.XLOOKUP(tblSales[[#This Row],[Product_id]],Products!A:A,Products!C:C)</f>
        <v>Harvesting Equipment</v>
      </c>
      <c r="D26" s="5" t="s">
        <v>518</v>
      </c>
      <c r="E26" s="6" t="s">
        <v>400</v>
      </c>
      <c r="F26" s="7">
        <v>45703</v>
      </c>
      <c r="G26" s="5">
        <v>11</v>
      </c>
      <c r="H26" s="10">
        <f>_xlfn.XLOOKUP(tblSales[[#This Row],[Product_id]],Products!A:A,Products!E:E)</f>
        <v>180000</v>
      </c>
      <c r="I26" s="10">
        <f>_xlfn.XLOOKUP(tblSales[[#This Row],[Product_id]],Products!A:A,Products!F:F)</f>
        <v>250000</v>
      </c>
      <c r="J26" s="10">
        <f>tblSales[[#This Row],[Quantity_sold]]*tblSales[[#This Row],[Unit_Price]]</f>
        <v>2750000</v>
      </c>
      <c r="K26" s="5" t="s">
        <v>645</v>
      </c>
      <c r="L26" s="5" t="s">
        <v>252</v>
      </c>
      <c r="M26" s="5" t="s">
        <v>879</v>
      </c>
      <c r="N26" s="10">
        <f>tblSales[[#This Row],[Unit_Price]]*tblSales[[#This Row],[Quantity_sold]]-tblSales[[#This Row],[Cost_price]]*tblSales[[#This Row],[Quantity_sold]]</f>
        <v>770000</v>
      </c>
    </row>
    <row r="27" spans="1:14" x14ac:dyDescent="0.25">
      <c r="A27" s="5" t="s">
        <v>671</v>
      </c>
      <c r="B27" s="5" t="s">
        <v>81</v>
      </c>
      <c r="C27" t="str">
        <f>_xlfn.XLOOKUP(tblSales[[#This Row],[Product_id]],Products!A:A,Products!C:C)</f>
        <v>Processing Equipment</v>
      </c>
      <c r="D27" s="5" t="s">
        <v>429</v>
      </c>
      <c r="E27" s="6" t="s">
        <v>430</v>
      </c>
      <c r="F27" s="7">
        <v>45714</v>
      </c>
      <c r="G27" s="5">
        <v>18</v>
      </c>
      <c r="H27" s="10">
        <f>_xlfn.XLOOKUP(tblSales[[#This Row],[Product_id]],Products!A:A,Products!E:E)</f>
        <v>125000</v>
      </c>
      <c r="I27" s="10">
        <f>_xlfn.XLOOKUP(tblSales[[#This Row],[Product_id]],Products!A:A,Products!F:F)</f>
        <v>185000</v>
      </c>
      <c r="J27" s="10">
        <f>tblSales[[#This Row],[Quantity_sold]]*tblSales[[#This Row],[Unit_Price]]</f>
        <v>3330000</v>
      </c>
      <c r="K27" s="5" t="s">
        <v>641</v>
      </c>
      <c r="L27" s="5" t="s">
        <v>648</v>
      </c>
      <c r="M27" s="5" t="s">
        <v>117</v>
      </c>
      <c r="N27" s="10">
        <f>tblSales[[#This Row],[Unit_Price]]*tblSales[[#This Row],[Quantity_sold]]-tblSales[[#This Row],[Cost_price]]*tblSales[[#This Row],[Quantity_sold]]</f>
        <v>1080000</v>
      </c>
    </row>
    <row r="28" spans="1:14" x14ac:dyDescent="0.25">
      <c r="A28" s="5" t="s">
        <v>672</v>
      </c>
      <c r="B28" s="5" t="s">
        <v>46</v>
      </c>
      <c r="C28" t="str">
        <f>_xlfn.XLOOKUP(tblSales[[#This Row],[Product_id]],Products!A:A,Products!C:C)</f>
        <v>Power Equipment</v>
      </c>
      <c r="D28" s="5" t="s">
        <v>451</v>
      </c>
      <c r="E28" s="6" t="s">
        <v>266</v>
      </c>
      <c r="F28" s="7">
        <v>45706</v>
      </c>
      <c r="G28" s="5">
        <v>2</v>
      </c>
      <c r="H28" s="10">
        <f>_xlfn.XLOOKUP(tblSales[[#This Row],[Product_id]],Products!A:A,Products!E:E)</f>
        <v>65000</v>
      </c>
      <c r="I28" s="10">
        <f>_xlfn.XLOOKUP(tblSales[[#This Row],[Product_id]],Products!A:A,Products!F:F)</f>
        <v>95000</v>
      </c>
      <c r="J28" s="10">
        <f>tblSales[[#This Row],[Quantity_sold]]*tblSales[[#This Row],[Unit_Price]]</f>
        <v>190000</v>
      </c>
      <c r="K28" s="5" t="s">
        <v>643</v>
      </c>
      <c r="L28" s="5" t="s">
        <v>252</v>
      </c>
      <c r="M28" s="5" t="s">
        <v>879</v>
      </c>
      <c r="N28" s="10">
        <f>tblSales[[#This Row],[Unit_Price]]*tblSales[[#This Row],[Quantity_sold]]-tblSales[[#This Row],[Cost_price]]*tblSales[[#This Row],[Quantity_sold]]</f>
        <v>60000</v>
      </c>
    </row>
    <row r="29" spans="1:14" x14ac:dyDescent="0.25">
      <c r="A29" s="5" t="s">
        <v>673</v>
      </c>
      <c r="B29" s="5" t="s">
        <v>84</v>
      </c>
      <c r="C29" t="str">
        <f>_xlfn.XLOOKUP(tblSales[[#This Row],[Product_id]],Products!A:A,Products!C:C)</f>
        <v>Industrial Equipment</v>
      </c>
      <c r="D29" s="5" t="s">
        <v>391</v>
      </c>
      <c r="E29" s="6" t="s">
        <v>392</v>
      </c>
      <c r="F29" s="7">
        <v>45706</v>
      </c>
      <c r="G29" s="5">
        <v>4</v>
      </c>
      <c r="H29" s="10">
        <f>_xlfn.XLOOKUP(tblSales[[#This Row],[Product_id]],Products!A:A,Products!E:E)</f>
        <v>65000</v>
      </c>
      <c r="I29" s="10">
        <f>_xlfn.XLOOKUP(tblSales[[#This Row],[Product_id]],Products!A:A,Products!F:F)</f>
        <v>85000</v>
      </c>
      <c r="J29" s="10">
        <f>tblSales[[#This Row],[Quantity_sold]]*tblSales[[#This Row],[Unit_Price]]</f>
        <v>340000</v>
      </c>
      <c r="K29" s="5" t="s">
        <v>645</v>
      </c>
      <c r="L29" s="5" t="s">
        <v>270</v>
      </c>
      <c r="M29" s="5" t="s">
        <v>119</v>
      </c>
      <c r="N29" s="10">
        <f>tblSales[[#This Row],[Unit_Price]]*tblSales[[#This Row],[Quantity_sold]]-tblSales[[#This Row],[Cost_price]]*tblSales[[#This Row],[Quantity_sold]]</f>
        <v>80000</v>
      </c>
    </row>
    <row r="30" spans="1:14" x14ac:dyDescent="0.25">
      <c r="A30" s="5" t="s">
        <v>674</v>
      </c>
      <c r="B30" s="5" t="s">
        <v>31</v>
      </c>
      <c r="C30" t="str">
        <f>_xlfn.XLOOKUP(tblSales[[#This Row],[Product_id]],Products!A:A,Products!C:C)</f>
        <v>Storage Equipment</v>
      </c>
      <c r="D30" s="5" t="s">
        <v>249</v>
      </c>
      <c r="E30" s="6" t="s">
        <v>250</v>
      </c>
      <c r="F30" s="7">
        <v>45699</v>
      </c>
      <c r="G30" s="5">
        <v>10</v>
      </c>
      <c r="H30" s="10">
        <f>_xlfn.XLOOKUP(tblSales[[#This Row],[Product_id]],Products!A:A,Products!E:E)</f>
        <v>510000</v>
      </c>
      <c r="I30" s="10">
        <f>_xlfn.XLOOKUP(tblSales[[#This Row],[Product_id]],Products!A:A,Products!F:F)</f>
        <v>690000</v>
      </c>
      <c r="J30" s="10">
        <f>tblSales[[#This Row],[Quantity_sold]]*tblSales[[#This Row],[Unit_Price]]</f>
        <v>6900000</v>
      </c>
      <c r="K30" s="5" t="s">
        <v>643</v>
      </c>
      <c r="L30" s="5" t="s">
        <v>270</v>
      </c>
      <c r="M30" s="5" t="s">
        <v>119</v>
      </c>
      <c r="N30" s="10">
        <f>tblSales[[#This Row],[Unit_Price]]*tblSales[[#This Row],[Quantity_sold]]-tblSales[[#This Row],[Cost_price]]*tblSales[[#This Row],[Quantity_sold]]</f>
        <v>1800000</v>
      </c>
    </row>
    <row r="31" spans="1:14" x14ac:dyDescent="0.25">
      <c r="A31" s="5" t="s">
        <v>675</v>
      </c>
      <c r="B31" s="5" t="s">
        <v>28</v>
      </c>
      <c r="C31" t="str">
        <f>_xlfn.XLOOKUP(tblSales[[#This Row],[Product_id]],Products!A:A,Products!C:C)</f>
        <v>Agricultural Equipment</v>
      </c>
      <c r="D31" s="5" t="s">
        <v>440</v>
      </c>
      <c r="E31" s="6" t="s">
        <v>243</v>
      </c>
      <c r="F31" s="7">
        <v>45708</v>
      </c>
      <c r="G31" s="5">
        <v>15</v>
      </c>
      <c r="H31" s="10">
        <f>_xlfn.XLOOKUP(tblSales[[#This Row],[Product_id]],Products!A:A,Products!E:E)</f>
        <v>32000</v>
      </c>
      <c r="I31" s="10">
        <f>_xlfn.XLOOKUP(tblSales[[#This Row],[Product_id]],Products!A:A,Products!F:F)</f>
        <v>48000</v>
      </c>
      <c r="J31" s="10">
        <f>tblSales[[#This Row],[Quantity_sold]]*tblSales[[#This Row],[Unit_Price]]</f>
        <v>720000</v>
      </c>
      <c r="K31" s="5" t="s">
        <v>641</v>
      </c>
      <c r="L31" s="5" t="s">
        <v>256</v>
      </c>
      <c r="M31" s="5" t="s">
        <v>119</v>
      </c>
      <c r="N31" s="10">
        <f>tblSales[[#This Row],[Unit_Price]]*tblSales[[#This Row],[Quantity_sold]]-tblSales[[#This Row],[Cost_price]]*tblSales[[#This Row],[Quantity_sold]]</f>
        <v>240000</v>
      </c>
    </row>
    <row r="32" spans="1:14" x14ac:dyDescent="0.25">
      <c r="A32" s="5" t="s">
        <v>676</v>
      </c>
      <c r="B32" s="5" t="s">
        <v>58</v>
      </c>
      <c r="C32" t="str">
        <f>_xlfn.XLOOKUP(tblSales[[#This Row],[Product_id]],Products!A:A,Products!C:C)</f>
        <v>Storage Equipment</v>
      </c>
      <c r="D32" s="5" t="s">
        <v>393</v>
      </c>
      <c r="E32" s="6" t="s">
        <v>394</v>
      </c>
      <c r="F32" s="7">
        <v>45704</v>
      </c>
      <c r="G32" s="5">
        <v>20</v>
      </c>
      <c r="H32" s="10">
        <f>_xlfn.XLOOKUP(tblSales[[#This Row],[Product_id]],Products!A:A,Products!E:E)</f>
        <v>125000</v>
      </c>
      <c r="I32" s="10">
        <f>_xlfn.XLOOKUP(tblSales[[#This Row],[Product_id]],Products!A:A,Products!F:F)</f>
        <v>185000</v>
      </c>
      <c r="J32" s="10">
        <f>tblSales[[#This Row],[Quantity_sold]]*tblSales[[#This Row],[Unit_Price]]</f>
        <v>3700000</v>
      </c>
      <c r="K32" s="5" t="s">
        <v>645</v>
      </c>
      <c r="L32" s="5" t="s">
        <v>648</v>
      </c>
      <c r="M32" s="5" t="s">
        <v>116</v>
      </c>
      <c r="N32" s="10">
        <f>tblSales[[#This Row],[Unit_Price]]*tblSales[[#This Row],[Quantity_sold]]-tblSales[[#This Row],[Cost_price]]*tblSales[[#This Row],[Quantity_sold]]</f>
        <v>1200000</v>
      </c>
    </row>
    <row r="33" spans="1:14" x14ac:dyDescent="0.25">
      <c r="A33" s="5" t="s">
        <v>677</v>
      </c>
      <c r="B33" s="5" t="s">
        <v>61</v>
      </c>
      <c r="C33" t="str">
        <f>_xlfn.XLOOKUP(tblSales[[#This Row],[Product_id]],Products!A:A,Products!C:C)</f>
        <v>Processing Equipment</v>
      </c>
      <c r="D33" s="5" t="s">
        <v>303</v>
      </c>
      <c r="E33" s="6" t="s">
        <v>304</v>
      </c>
      <c r="F33" s="7">
        <v>45715</v>
      </c>
      <c r="G33" s="5">
        <v>10</v>
      </c>
      <c r="H33" s="10">
        <f>_xlfn.XLOOKUP(tblSales[[#This Row],[Product_id]],Products!A:A,Products!E:E)</f>
        <v>295000</v>
      </c>
      <c r="I33" s="10">
        <f>_xlfn.XLOOKUP(tblSales[[#This Row],[Product_id]],Products!A:A,Products!F:F)</f>
        <v>410000</v>
      </c>
      <c r="J33" s="10">
        <f>tblSales[[#This Row],[Quantity_sold]]*tblSales[[#This Row],[Unit_Price]]</f>
        <v>4100000</v>
      </c>
      <c r="K33" s="5" t="s">
        <v>641</v>
      </c>
      <c r="L33" s="5" t="s">
        <v>651</v>
      </c>
      <c r="M33" s="5" t="s">
        <v>117</v>
      </c>
      <c r="N33" s="10">
        <f>tblSales[[#This Row],[Unit_Price]]*tblSales[[#This Row],[Quantity_sold]]-tblSales[[#This Row],[Cost_price]]*tblSales[[#This Row],[Quantity_sold]]</f>
        <v>1150000</v>
      </c>
    </row>
    <row r="34" spans="1:14" x14ac:dyDescent="0.25">
      <c r="A34" s="5" t="s">
        <v>678</v>
      </c>
      <c r="B34" s="5" t="s">
        <v>20</v>
      </c>
      <c r="C34" t="str">
        <f>_xlfn.XLOOKUP(tblSales[[#This Row],[Product_id]],Products!A:A,Products!C:C)</f>
        <v>Agricultural Machine</v>
      </c>
      <c r="D34" s="5" t="s">
        <v>624</v>
      </c>
      <c r="E34" s="6" t="s">
        <v>565</v>
      </c>
      <c r="F34" s="7">
        <v>45705</v>
      </c>
      <c r="G34" s="5">
        <v>2</v>
      </c>
      <c r="H34" s="10">
        <f>_xlfn.XLOOKUP(tblSales[[#This Row],[Product_id]],Products!A:A,Products!E:E)</f>
        <v>140000</v>
      </c>
      <c r="I34" s="10">
        <f>_xlfn.XLOOKUP(tblSales[[#This Row],[Product_id]],Products!A:A,Products!F:F)</f>
        <v>195000</v>
      </c>
      <c r="J34" s="10">
        <f>tblSales[[#This Row],[Quantity_sold]]*tblSales[[#This Row],[Unit_Price]]</f>
        <v>390000</v>
      </c>
      <c r="K34" s="5" t="s">
        <v>643</v>
      </c>
      <c r="L34" s="5" t="s">
        <v>252</v>
      </c>
      <c r="M34" s="5" t="s">
        <v>114</v>
      </c>
      <c r="N34" s="10">
        <f>tblSales[[#This Row],[Unit_Price]]*tblSales[[#This Row],[Quantity_sold]]-tblSales[[#This Row],[Cost_price]]*tblSales[[#This Row],[Quantity_sold]]</f>
        <v>110000</v>
      </c>
    </row>
    <row r="35" spans="1:14" x14ac:dyDescent="0.25">
      <c r="A35" s="5" t="s">
        <v>679</v>
      </c>
      <c r="B35" s="5" t="s">
        <v>85</v>
      </c>
      <c r="C35" t="str">
        <f>_xlfn.XLOOKUP(tblSales[[#This Row],[Product_id]],Products!A:A,Products!C:C)</f>
        <v>Industrial Equipment</v>
      </c>
      <c r="D35" s="5" t="s">
        <v>440</v>
      </c>
      <c r="E35" s="6" t="s">
        <v>243</v>
      </c>
      <c r="F35" s="7">
        <v>45715</v>
      </c>
      <c r="G35" s="5">
        <v>13</v>
      </c>
      <c r="H35" s="10">
        <f>_xlfn.XLOOKUP(tblSales[[#This Row],[Product_id]],Products!A:A,Products!E:E)</f>
        <v>42000</v>
      </c>
      <c r="I35" s="10">
        <f>_xlfn.XLOOKUP(tblSales[[#This Row],[Product_id]],Products!A:A,Products!F:F)</f>
        <v>68000</v>
      </c>
      <c r="J35" s="10">
        <f>tblSales[[#This Row],[Quantity_sold]]*tblSales[[#This Row],[Unit_Price]]</f>
        <v>884000</v>
      </c>
      <c r="K35" s="5" t="s">
        <v>643</v>
      </c>
      <c r="L35" s="5" t="s">
        <v>252</v>
      </c>
      <c r="M35" s="5" t="s">
        <v>879</v>
      </c>
      <c r="N35" s="10">
        <f>tblSales[[#This Row],[Unit_Price]]*tblSales[[#This Row],[Quantity_sold]]-tblSales[[#This Row],[Cost_price]]*tblSales[[#This Row],[Quantity_sold]]</f>
        <v>338000</v>
      </c>
    </row>
    <row r="36" spans="1:14" x14ac:dyDescent="0.25">
      <c r="A36" s="5" t="s">
        <v>680</v>
      </c>
      <c r="B36" s="5" t="s">
        <v>32</v>
      </c>
      <c r="C36" t="str">
        <f>_xlfn.XLOOKUP(tblSales[[#This Row],[Product_id]],Products!A:A,Products!C:C)</f>
        <v>Agricultural Equipment</v>
      </c>
      <c r="D36" s="5" t="s">
        <v>315</v>
      </c>
      <c r="E36" s="6" t="s">
        <v>316</v>
      </c>
      <c r="F36" s="7">
        <v>45740</v>
      </c>
      <c r="G36" s="5">
        <v>14</v>
      </c>
      <c r="H36" s="10">
        <f>_xlfn.XLOOKUP(tblSales[[#This Row],[Product_id]],Products!A:A,Products!E:E)</f>
        <v>98000</v>
      </c>
      <c r="I36" s="10">
        <f>_xlfn.XLOOKUP(tblSales[[#This Row],[Product_id]],Products!A:A,Products!F:F)</f>
        <v>145000</v>
      </c>
      <c r="J36" s="10">
        <f>tblSales[[#This Row],[Quantity_sold]]*tblSales[[#This Row],[Unit_Price]]</f>
        <v>2030000</v>
      </c>
      <c r="K36" s="5" t="s">
        <v>645</v>
      </c>
      <c r="L36" s="5" t="s">
        <v>646</v>
      </c>
      <c r="M36" s="5" t="s">
        <v>115</v>
      </c>
      <c r="N36" s="10">
        <f>tblSales[[#This Row],[Unit_Price]]*tblSales[[#This Row],[Quantity_sold]]-tblSales[[#This Row],[Cost_price]]*tblSales[[#This Row],[Quantity_sold]]</f>
        <v>658000</v>
      </c>
    </row>
    <row r="37" spans="1:14" x14ac:dyDescent="0.25">
      <c r="A37" s="5" t="s">
        <v>681</v>
      </c>
      <c r="B37" s="5" t="s">
        <v>80</v>
      </c>
      <c r="C37" t="str">
        <f>_xlfn.XLOOKUP(tblSales[[#This Row],[Product_id]],Products!A:A,Products!C:C)</f>
        <v>Agricultural Equipment</v>
      </c>
      <c r="D37" s="5" t="s">
        <v>450</v>
      </c>
      <c r="E37" s="6" t="s">
        <v>264</v>
      </c>
      <c r="F37" s="7">
        <v>45746</v>
      </c>
      <c r="G37" s="5">
        <v>3</v>
      </c>
      <c r="H37" s="10">
        <f>_xlfn.XLOOKUP(tblSales[[#This Row],[Product_id]],Products!A:A,Products!E:E)</f>
        <v>88000</v>
      </c>
      <c r="I37" s="10">
        <f>_xlfn.XLOOKUP(tblSales[[#This Row],[Product_id]],Products!A:A,Products!F:F)</f>
        <v>130000</v>
      </c>
      <c r="J37" s="10">
        <f>tblSales[[#This Row],[Quantity_sold]]*tblSales[[#This Row],[Unit_Price]]</f>
        <v>390000</v>
      </c>
      <c r="K37" s="5" t="s">
        <v>641</v>
      </c>
      <c r="L37" s="5" t="s">
        <v>648</v>
      </c>
      <c r="M37" s="5" t="s">
        <v>115</v>
      </c>
      <c r="N37" s="10">
        <f>tblSales[[#This Row],[Unit_Price]]*tblSales[[#This Row],[Quantity_sold]]-tblSales[[#This Row],[Cost_price]]*tblSales[[#This Row],[Quantity_sold]]</f>
        <v>126000</v>
      </c>
    </row>
    <row r="38" spans="1:14" x14ac:dyDescent="0.25">
      <c r="A38" s="5" t="s">
        <v>682</v>
      </c>
      <c r="B38" s="5" t="s">
        <v>102</v>
      </c>
      <c r="C38" t="str">
        <f>_xlfn.XLOOKUP(tblSales[[#This Row],[Product_id]],Products!A:A,Products!C:C)</f>
        <v>Harvesting Equipment</v>
      </c>
      <c r="D38" s="5" t="s">
        <v>633</v>
      </c>
      <c r="E38" s="6" t="s">
        <v>573</v>
      </c>
      <c r="F38" s="7">
        <v>45739</v>
      </c>
      <c r="G38" s="5">
        <v>20</v>
      </c>
      <c r="H38" s="10">
        <f>_xlfn.XLOOKUP(tblSales[[#This Row],[Product_id]],Products!A:A,Products!E:E)</f>
        <v>180000</v>
      </c>
      <c r="I38" s="10">
        <f>_xlfn.XLOOKUP(tblSales[[#This Row],[Product_id]],Products!A:A,Products!F:F)</f>
        <v>250000</v>
      </c>
      <c r="J38" s="10">
        <f>tblSales[[#This Row],[Quantity_sold]]*tblSales[[#This Row],[Unit_Price]]</f>
        <v>5000000</v>
      </c>
      <c r="K38" s="5" t="s">
        <v>645</v>
      </c>
      <c r="L38" s="5" t="s">
        <v>252</v>
      </c>
      <c r="M38" s="5" t="s">
        <v>116</v>
      </c>
      <c r="N38" s="10">
        <f>tblSales[[#This Row],[Unit_Price]]*tblSales[[#This Row],[Quantity_sold]]-tblSales[[#This Row],[Cost_price]]*tblSales[[#This Row],[Quantity_sold]]</f>
        <v>1400000</v>
      </c>
    </row>
    <row r="39" spans="1:14" x14ac:dyDescent="0.25">
      <c r="A39" s="5" t="s">
        <v>683</v>
      </c>
      <c r="B39" s="5" t="s">
        <v>99</v>
      </c>
      <c r="C39" t="str">
        <f>_xlfn.XLOOKUP(tblSales[[#This Row],[Product_id]],Products!A:A,Products!C:C)</f>
        <v>Processing Equipment</v>
      </c>
      <c r="D39" s="5" t="s">
        <v>616</v>
      </c>
      <c r="E39" s="6" t="s">
        <v>557</v>
      </c>
      <c r="F39" s="7">
        <v>45721</v>
      </c>
      <c r="G39" s="5">
        <v>4</v>
      </c>
      <c r="H39" s="10">
        <f>_xlfn.XLOOKUP(tblSales[[#This Row],[Product_id]],Products!A:A,Products!E:E)</f>
        <v>85000</v>
      </c>
      <c r="I39" s="10">
        <f>_xlfn.XLOOKUP(tblSales[[#This Row],[Product_id]],Products!A:A,Products!F:F)</f>
        <v>130000</v>
      </c>
      <c r="J39" s="10">
        <f>tblSales[[#This Row],[Quantity_sold]]*tblSales[[#This Row],[Unit_Price]]</f>
        <v>520000</v>
      </c>
      <c r="K39" s="5" t="s">
        <v>641</v>
      </c>
      <c r="L39" s="5" t="s">
        <v>651</v>
      </c>
      <c r="M39" s="5" t="s">
        <v>116</v>
      </c>
      <c r="N39" s="10">
        <f>tblSales[[#This Row],[Unit_Price]]*tblSales[[#This Row],[Quantity_sold]]-tblSales[[#This Row],[Cost_price]]*tblSales[[#This Row],[Quantity_sold]]</f>
        <v>180000</v>
      </c>
    </row>
    <row r="40" spans="1:14" x14ac:dyDescent="0.25">
      <c r="A40" s="5" t="s">
        <v>684</v>
      </c>
      <c r="B40" s="5" t="s">
        <v>24</v>
      </c>
      <c r="C40" t="str">
        <f>_xlfn.XLOOKUP(tblSales[[#This Row],[Product_id]],Products!A:A,Products!C:C)</f>
        <v>Processing Equipment</v>
      </c>
      <c r="D40" s="5" t="s">
        <v>491</v>
      </c>
      <c r="E40" s="6" t="s">
        <v>346</v>
      </c>
      <c r="F40" s="7">
        <v>45731</v>
      </c>
      <c r="G40" s="5">
        <v>11</v>
      </c>
      <c r="H40" s="10">
        <f>_xlfn.XLOOKUP(tblSales[[#This Row],[Product_id]],Products!A:A,Products!E:E)</f>
        <v>65000</v>
      </c>
      <c r="I40" s="10">
        <f>_xlfn.XLOOKUP(tblSales[[#This Row],[Product_id]],Products!A:A,Products!F:F)</f>
        <v>95000</v>
      </c>
      <c r="J40" s="10">
        <f>tblSales[[#This Row],[Quantity_sold]]*tblSales[[#This Row],[Unit_Price]]</f>
        <v>1045000</v>
      </c>
      <c r="K40" s="5" t="s">
        <v>643</v>
      </c>
      <c r="L40" s="5" t="s">
        <v>646</v>
      </c>
      <c r="M40" s="5" t="s">
        <v>879</v>
      </c>
      <c r="N40" s="10">
        <f>tblSales[[#This Row],[Unit_Price]]*tblSales[[#This Row],[Quantity_sold]]-tblSales[[#This Row],[Cost_price]]*tblSales[[#This Row],[Quantity_sold]]</f>
        <v>330000</v>
      </c>
    </row>
    <row r="41" spans="1:14" x14ac:dyDescent="0.25">
      <c r="A41" s="5" t="s">
        <v>685</v>
      </c>
      <c r="B41" s="5" t="s">
        <v>2</v>
      </c>
      <c r="C41" t="str">
        <f>_xlfn.XLOOKUP(tblSales[[#This Row],[Product_id]],Products!A:A,Products!C:C)</f>
        <v>Agricultural Machine</v>
      </c>
      <c r="D41" s="5" t="s">
        <v>484</v>
      </c>
      <c r="E41" s="6" t="s">
        <v>332</v>
      </c>
      <c r="F41" s="7">
        <v>45740</v>
      </c>
      <c r="G41" s="5">
        <v>14</v>
      </c>
      <c r="H41" s="10">
        <f>_xlfn.XLOOKUP(tblSales[[#This Row],[Product_id]],Products!A:A,Products!E:E)</f>
        <v>120000</v>
      </c>
      <c r="I41" s="10">
        <f>_xlfn.XLOOKUP(tblSales[[#This Row],[Product_id]],Products!A:A,Products!F:F)</f>
        <v>165000</v>
      </c>
      <c r="J41" s="10">
        <f>tblSales[[#This Row],[Quantity_sold]]*tblSales[[#This Row],[Unit_Price]]</f>
        <v>2310000</v>
      </c>
      <c r="K41" s="5" t="s">
        <v>643</v>
      </c>
      <c r="L41" s="5" t="s">
        <v>646</v>
      </c>
      <c r="M41" s="5" t="s">
        <v>114</v>
      </c>
      <c r="N41" s="10">
        <f>tblSales[[#This Row],[Unit_Price]]*tblSales[[#This Row],[Quantity_sold]]-tblSales[[#This Row],[Cost_price]]*tblSales[[#This Row],[Quantity_sold]]</f>
        <v>630000</v>
      </c>
    </row>
    <row r="42" spans="1:14" x14ac:dyDescent="0.25">
      <c r="A42" s="5" t="s">
        <v>686</v>
      </c>
      <c r="B42" s="5" t="s">
        <v>104</v>
      </c>
      <c r="C42" t="str">
        <f>_xlfn.XLOOKUP(tblSales[[#This Row],[Product_id]],Products!A:A,Products!C:C)</f>
        <v>Processing Equipment</v>
      </c>
      <c r="D42" s="5" t="s">
        <v>456</v>
      </c>
      <c r="E42" s="6" t="s">
        <v>276</v>
      </c>
      <c r="F42" s="7">
        <v>45737</v>
      </c>
      <c r="G42" s="5">
        <v>2</v>
      </c>
      <c r="H42" s="10">
        <f>_xlfn.XLOOKUP(tblSales[[#This Row],[Product_id]],Products!A:A,Products!E:E)</f>
        <v>95000</v>
      </c>
      <c r="I42" s="10">
        <f>_xlfn.XLOOKUP(tblSales[[#This Row],[Product_id]],Products!A:A,Products!F:F)</f>
        <v>145000</v>
      </c>
      <c r="J42" s="10">
        <f>tblSales[[#This Row],[Quantity_sold]]*tblSales[[#This Row],[Unit_Price]]</f>
        <v>290000</v>
      </c>
      <c r="K42" s="5" t="s">
        <v>645</v>
      </c>
      <c r="L42" s="5" t="s">
        <v>651</v>
      </c>
      <c r="M42" s="5" t="s">
        <v>119</v>
      </c>
      <c r="N42" s="10">
        <f>tblSales[[#This Row],[Unit_Price]]*tblSales[[#This Row],[Quantity_sold]]-tblSales[[#This Row],[Cost_price]]*tblSales[[#This Row],[Quantity_sold]]</f>
        <v>100000</v>
      </c>
    </row>
    <row r="43" spans="1:14" x14ac:dyDescent="0.25">
      <c r="A43" s="5" t="s">
        <v>687</v>
      </c>
      <c r="B43" s="5" t="s">
        <v>6</v>
      </c>
      <c r="C43" t="str">
        <f>_xlfn.XLOOKUP(tblSales[[#This Row],[Product_id]],Products!A:A,Products!C:C)</f>
        <v>Agricultural Machine</v>
      </c>
      <c r="D43" s="5" t="s">
        <v>514</v>
      </c>
      <c r="E43" s="6" t="s">
        <v>392</v>
      </c>
      <c r="F43" s="7">
        <v>45735</v>
      </c>
      <c r="G43" s="5">
        <v>11</v>
      </c>
      <c r="H43" s="10">
        <f>_xlfn.XLOOKUP(tblSales[[#This Row],[Product_id]],Products!A:A,Products!E:E)</f>
        <v>95000</v>
      </c>
      <c r="I43" s="10">
        <f>_xlfn.XLOOKUP(tblSales[[#This Row],[Product_id]],Products!A:A,Products!F:F)</f>
        <v>135000</v>
      </c>
      <c r="J43" s="10">
        <f>tblSales[[#This Row],[Quantity_sold]]*tblSales[[#This Row],[Unit_Price]]</f>
        <v>1485000</v>
      </c>
      <c r="K43" s="5" t="s">
        <v>641</v>
      </c>
      <c r="L43" s="5" t="s">
        <v>256</v>
      </c>
      <c r="M43" s="5" t="s">
        <v>117</v>
      </c>
      <c r="N43" s="10">
        <f>tblSales[[#This Row],[Unit_Price]]*tblSales[[#This Row],[Quantity_sold]]-tblSales[[#This Row],[Cost_price]]*tblSales[[#This Row],[Quantity_sold]]</f>
        <v>440000</v>
      </c>
    </row>
    <row r="44" spans="1:14" x14ac:dyDescent="0.25">
      <c r="A44" s="5" t="s">
        <v>688</v>
      </c>
      <c r="B44" s="5" t="s">
        <v>85</v>
      </c>
      <c r="C44" t="str">
        <f>_xlfn.XLOOKUP(tblSales[[#This Row],[Product_id]],Products!A:A,Products!C:C)</f>
        <v>Industrial Equipment</v>
      </c>
      <c r="D44" s="5" t="s">
        <v>526</v>
      </c>
      <c r="E44" s="6" t="s">
        <v>416</v>
      </c>
      <c r="F44" s="7">
        <v>45725</v>
      </c>
      <c r="G44" s="5">
        <v>2</v>
      </c>
      <c r="H44" s="10">
        <f>_xlfn.XLOOKUP(tblSales[[#This Row],[Product_id]],Products!A:A,Products!E:E)</f>
        <v>42000</v>
      </c>
      <c r="I44" s="10">
        <f>_xlfn.XLOOKUP(tblSales[[#This Row],[Product_id]],Products!A:A,Products!F:F)</f>
        <v>68000</v>
      </c>
      <c r="J44" s="10">
        <f>tblSales[[#This Row],[Quantity_sold]]*tblSales[[#This Row],[Unit_Price]]</f>
        <v>136000</v>
      </c>
      <c r="K44" s="5" t="s">
        <v>643</v>
      </c>
      <c r="L44" s="5" t="s">
        <v>651</v>
      </c>
      <c r="M44" s="5" t="s">
        <v>115</v>
      </c>
      <c r="N44" s="10">
        <f>tblSales[[#This Row],[Unit_Price]]*tblSales[[#This Row],[Quantity_sold]]-tblSales[[#This Row],[Cost_price]]*tblSales[[#This Row],[Quantity_sold]]</f>
        <v>52000</v>
      </c>
    </row>
    <row r="45" spans="1:14" x14ac:dyDescent="0.25">
      <c r="A45" s="5" t="s">
        <v>689</v>
      </c>
      <c r="B45" s="5" t="s">
        <v>104</v>
      </c>
      <c r="C45" t="str">
        <f>_xlfn.XLOOKUP(tblSales[[#This Row],[Product_id]],Products!A:A,Products!C:C)</f>
        <v>Processing Equipment</v>
      </c>
      <c r="D45" s="5" t="s">
        <v>440</v>
      </c>
      <c r="E45" s="6" t="s">
        <v>243</v>
      </c>
      <c r="F45" s="7">
        <v>45742</v>
      </c>
      <c r="G45" s="5">
        <v>9</v>
      </c>
      <c r="H45" s="10">
        <f>_xlfn.XLOOKUP(tblSales[[#This Row],[Product_id]],Products!A:A,Products!E:E)</f>
        <v>95000</v>
      </c>
      <c r="I45" s="10">
        <f>_xlfn.XLOOKUP(tblSales[[#This Row],[Product_id]],Products!A:A,Products!F:F)</f>
        <v>145000</v>
      </c>
      <c r="J45" s="10">
        <f>tblSales[[#This Row],[Quantity_sold]]*tblSales[[#This Row],[Unit_Price]]</f>
        <v>1305000</v>
      </c>
      <c r="K45" s="5" t="s">
        <v>645</v>
      </c>
      <c r="L45" s="5" t="s">
        <v>651</v>
      </c>
      <c r="M45" s="5" t="s">
        <v>119</v>
      </c>
      <c r="N45" s="10">
        <f>tblSales[[#This Row],[Unit_Price]]*tblSales[[#This Row],[Quantity_sold]]-tblSales[[#This Row],[Cost_price]]*tblSales[[#This Row],[Quantity_sold]]</f>
        <v>450000</v>
      </c>
    </row>
    <row r="46" spans="1:14" x14ac:dyDescent="0.25">
      <c r="A46" s="5" t="s">
        <v>690</v>
      </c>
      <c r="B46" s="5" t="s">
        <v>71</v>
      </c>
      <c r="C46" t="str">
        <f>_xlfn.XLOOKUP(tblSales[[#This Row],[Product_id]],Products!A:A,Products!C:C)</f>
        <v>Agricultural Machine</v>
      </c>
      <c r="D46" s="5" t="s">
        <v>381</v>
      </c>
      <c r="E46" s="6" t="s">
        <v>382</v>
      </c>
      <c r="F46" s="7">
        <v>45747</v>
      </c>
      <c r="G46" s="5">
        <v>6</v>
      </c>
      <c r="H46" s="10">
        <f>_xlfn.XLOOKUP(tblSales[[#This Row],[Product_id]],Products!A:A,Products!E:E)</f>
        <v>275000</v>
      </c>
      <c r="I46" s="10">
        <f>_xlfn.XLOOKUP(tblSales[[#This Row],[Product_id]],Products!A:A,Products!F:F)</f>
        <v>385000</v>
      </c>
      <c r="J46" s="10">
        <f>tblSales[[#This Row],[Quantity_sold]]*tblSales[[#This Row],[Unit_Price]]</f>
        <v>2310000</v>
      </c>
      <c r="K46" s="5" t="s">
        <v>643</v>
      </c>
      <c r="L46" s="5" t="s">
        <v>256</v>
      </c>
      <c r="M46" s="5" t="s">
        <v>119</v>
      </c>
      <c r="N46" s="10">
        <f>tblSales[[#This Row],[Unit_Price]]*tblSales[[#This Row],[Quantity_sold]]-tblSales[[#This Row],[Cost_price]]*tblSales[[#This Row],[Quantity_sold]]</f>
        <v>660000</v>
      </c>
    </row>
    <row r="47" spans="1:14" x14ac:dyDescent="0.25">
      <c r="A47" s="5" t="s">
        <v>691</v>
      </c>
      <c r="B47" s="5" t="s">
        <v>38</v>
      </c>
      <c r="C47" t="str">
        <f>_xlfn.XLOOKUP(tblSales[[#This Row],[Product_id]],Products!A:A,Products!C:C)</f>
        <v>Industrial Equipment</v>
      </c>
      <c r="D47" s="5" t="s">
        <v>594</v>
      </c>
      <c r="E47" s="6" t="s">
        <v>535</v>
      </c>
      <c r="F47" s="7">
        <v>45726</v>
      </c>
      <c r="G47" s="5">
        <v>5</v>
      </c>
      <c r="H47" s="10">
        <f>_xlfn.XLOOKUP(tblSales[[#This Row],[Product_id]],Products!A:A,Products!E:E)</f>
        <v>210000</v>
      </c>
      <c r="I47" s="10">
        <f>_xlfn.XLOOKUP(tblSales[[#This Row],[Product_id]],Products!A:A,Products!F:F)</f>
        <v>295000</v>
      </c>
      <c r="J47" s="10">
        <f>tblSales[[#This Row],[Quantity_sold]]*tblSales[[#This Row],[Unit_Price]]</f>
        <v>1475000</v>
      </c>
      <c r="K47" s="5" t="s">
        <v>641</v>
      </c>
      <c r="L47" s="5" t="s">
        <v>646</v>
      </c>
      <c r="M47" s="5" t="s">
        <v>116</v>
      </c>
      <c r="N47" s="10">
        <f>tblSales[[#This Row],[Unit_Price]]*tblSales[[#This Row],[Quantity_sold]]-tblSales[[#This Row],[Cost_price]]*tblSales[[#This Row],[Quantity_sold]]</f>
        <v>425000</v>
      </c>
    </row>
    <row r="48" spans="1:14" x14ac:dyDescent="0.25">
      <c r="A48" s="5" t="s">
        <v>692</v>
      </c>
      <c r="B48" s="5" t="s">
        <v>54</v>
      </c>
      <c r="C48" t="str">
        <f>_xlfn.XLOOKUP(tblSales[[#This Row],[Product_id]],Products!A:A,Products!C:C)</f>
        <v>Processing Equipment</v>
      </c>
      <c r="D48" s="5" t="s">
        <v>616</v>
      </c>
      <c r="E48" s="6" t="s">
        <v>557</v>
      </c>
      <c r="F48" s="7">
        <v>45731</v>
      </c>
      <c r="G48" s="5">
        <v>8</v>
      </c>
      <c r="H48" s="10">
        <f>_xlfn.XLOOKUP(tblSales[[#This Row],[Product_id]],Products!A:A,Products!E:E)</f>
        <v>210000</v>
      </c>
      <c r="I48" s="10">
        <f>_xlfn.XLOOKUP(tblSales[[#This Row],[Product_id]],Products!A:A,Products!F:F)</f>
        <v>295000</v>
      </c>
      <c r="J48" s="10">
        <f>tblSales[[#This Row],[Quantity_sold]]*tblSales[[#This Row],[Unit_Price]]</f>
        <v>2360000</v>
      </c>
      <c r="K48" s="5" t="s">
        <v>645</v>
      </c>
      <c r="L48" s="5" t="s">
        <v>256</v>
      </c>
      <c r="M48" s="5" t="s">
        <v>116</v>
      </c>
      <c r="N48" s="10">
        <f>tblSales[[#This Row],[Unit_Price]]*tblSales[[#This Row],[Quantity_sold]]-tblSales[[#This Row],[Cost_price]]*tblSales[[#This Row],[Quantity_sold]]</f>
        <v>680000</v>
      </c>
    </row>
    <row r="49" spans="1:14" x14ac:dyDescent="0.25">
      <c r="A49" s="5" t="s">
        <v>693</v>
      </c>
      <c r="B49" s="5" t="s">
        <v>23</v>
      </c>
      <c r="C49" t="str">
        <f>_xlfn.XLOOKUP(tblSales[[#This Row],[Product_id]],Products!A:A,Products!C:C)</f>
        <v>Agricultural Machine</v>
      </c>
      <c r="D49" s="5" t="s">
        <v>509</v>
      </c>
      <c r="E49" s="6" t="s">
        <v>382</v>
      </c>
      <c r="F49" s="7">
        <v>45731</v>
      </c>
      <c r="G49" s="5">
        <v>8</v>
      </c>
      <c r="H49" s="10">
        <f>_xlfn.XLOOKUP(tblSales[[#This Row],[Product_id]],Products!A:A,Products!E:E)</f>
        <v>680000</v>
      </c>
      <c r="I49" s="10">
        <f>_xlfn.XLOOKUP(tblSales[[#This Row],[Product_id]],Products!A:A,Products!F:F)</f>
        <v>890000</v>
      </c>
      <c r="J49" s="10">
        <f>tblSales[[#This Row],[Quantity_sold]]*tblSales[[#This Row],[Unit_Price]]</f>
        <v>7120000</v>
      </c>
      <c r="K49" s="5" t="s">
        <v>645</v>
      </c>
      <c r="L49" s="5" t="s">
        <v>270</v>
      </c>
      <c r="M49" s="5" t="s">
        <v>114</v>
      </c>
      <c r="N49" s="10">
        <f>tblSales[[#This Row],[Unit_Price]]*tblSales[[#This Row],[Quantity_sold]]-tblSales[[#This Row],[Cost_price]]*tblSales[[#This Row],[Quantity_sold]]</f>
        <v>1680000</v>
      </c>
    </row>
    <row r="50" spans="1:14" x14ac:dyDescent="0.25">
      <c r="A50" s="5" t="s">
        <v>694</v>
      </c>
      <c r="B50" s="5" t="s">
        <v>100</v>
      </c>
      <c r="C50" t="str">
        <f>_xlfn.XLOOKUP(tblSales[[#This Row],[Product_id]],Products!A:A,Products!C:C)</f>
        <v>Agricultural Equipment</v>
      </c>
      <c r="D50" s="5" t="s">
        <v>323</v>
      </c>
      <c r="E50" s="6" t="s">
        <v>324</v>
      </c>
      <c r="F50" s="7">
        <v>45745</v>
      </c>
      <c r="G50" s="5">
        <v>11</v>
      </c>
      <c r="H50" s="10">
        <f>_xlfn.XLOOKUP(tblSales[[#This Row],[Product_id]],Products!A:A,Products!E:E)</f>
        <v>42000</v>
      </c>
      <c r="I50" s="10">
        <f>_xlfn.XLOOKUP(tblSales[[#This Row],[Product_id]],Products!A:A,Products!F:F)</f>
        <v>68000</v>
      </c>
      <c r="J50" s="10">
        <f>tblSales[[#This Row],[Quantity_sold]]*tblSales[[#This Row],[Unit_Price]]</f>
        <v>748000</v>
      </c>
      <c r="K50" s="5" t="str">
        <f t="shared" ref="K50:K81" ca="1" si="0">CHOOSE(RANDBETWEEN(1,3), "Cash", "Transfer", "POS")</f>
        <v>Transfer</v>
      </c>
      <c r="L50" s="5" t="s">
        <v>256</v>
      </c>
      <c r="M50" s="5" t="s">
        <v>116</v>
      </c>
      <c r="N50" s="10">
        <f>tblSales[[#This Row],[Unit_Price]]*tblSales[[#This Row],[Quantity_sold]]-tblSales[[#This Row],[Cost_price]]*tblSales[[#This Row],[Quantity_sold]]</f>
        <v>286000</v>
      </c>
    </row>
    <row r="51" spans="1:14" x14ac:dyDescent="0.25">
      <c r="A51" s="5" t="s">
        <v>695</v>
      </c>
      <c r="B51" s="5" t="s">
        <v>67</v>
      </c>
      <c r="C51" t="str">
        <f>_xlfn.XLOOKUP(tblSales[[#This Row],[Product_id]],Products!A:A,Products!C:C)</f>
        <v>Agricultural Equipment</v>
      </c>
      <c r="D51" s="5" t="s">
        <v>233</v>
      </c>
      <c r="E51" s="6" t="s">
        <v>234</v>
      </c>
      <c r="F51" s="7">
        <v>45741</v>
      </c>
      <c r="G51" s="5">
        <v>18</v>
      </c>
      <c r="H51" s="10">
        <f>_xlfn.XLOOKUP(tblSales[[#This Row],[Product_id]],Products!A:A,Products!E:E)</f>
        <v>18500</v>
      </c>
      <c r="I51" s="10">
        <f>_xlfn.XLOOKUP(tblSales[[#This Row],[Product_id]],Products!A:A,Products!F:F)</f>
        <v>29500</v>
      </c>
      <c r="J51" s="10">
        <f>tblSales[[#This Row],[Quantity_sold]]*tblSales[[#This Row],[Unit_Price]]</f>
        <v>531000</v>
      </c>
      <c r="K51" s="5" t="str">
        <f t="shared" ca="1" si="0"/>
        <v>Transfer</v>
      </c>
      <c r="L51" s="5" t="s">
        <v>270</v>
      </c>
      <c r="M51" s="5" t="s">
        <v>879</v>
      </c>
      <c r="N51" s="10">
        <f>tblSales[[#This Row],[Unit_Price]]*tblSales[[#This Row],[Quantity_sold]]-tblSales[[#This Row],[Cost_price]]*tblSales[[#This Row],[Quantity_sold]]</f>
        <v>198000</v>
      </c>
    </row>
    <row r="52" spans="1:14" x14ac:dyDescent="0.25">
      <c r="A52" s="5" t="s">
        <v>696</v>
      </c>
      <c r="B52" s="5" t="s">
        <v>90</v>
      </c>
      <c r="C52" t="str">
        <f>_xlfn.XLOOKUP(tblSales[[#This Row],[Product_id]],Products!A:A,Products!C:C)</f>
        <v>Power Equipment</v>
      </c>
      <c r="D52" s="5" t="s">
        <v>604</v>
      </c>
      <c r="E52" s="6" t="s">
        <v>545</v>
      </c>
      <c r="F52" s="7">
        <v>45724</v>
      </c>
      <c r="G52" s="5">
        <v>1</v>
      </c>
      <c r="H52" s="10">
        <f>_xlfn.XLOOKUP(tblSales[[#This Row],[Product_id]],Products!A:A,Products!E:E)</f>
        <v>29000</v>
      </c>
      <c r="I52" s="10">
        <f>_xlfn.XLOOKUP(tblSales[[#This Row],[Product_id]],Products!A:A,Products!F:F)</f>
        <v>46000</v>
      </c>
      <c r="J52" s="10">
        <f>tblSales[[#This Row],[Quantity_sold]]*tblSales[[#This Row],[Unit_Price]]</f>
        <v>46000</v>
      </c>
      <c r="K52" s="5" t="str">
        <f t="shared" ca="1" si="0"/>
        <v>Transfer</v>
      </c>
      <c r="L52" s="5" t="s">
        <v>252</v>
      </c>
      <c r="M52" s="5" t="s">
        <v>115</v>
      </c>
      <c r="N52" s="10">
        <f>tblSales[[#This Row],[Unit_Price]]*tblSales[[#This Row],[Quantity_sold]]-tblSales[[#This Row],[Cost_price]]*tblSales[[#This Row],[Quantity_sold]]</f>
        <v>17000</v>
      </c>
    </row>
    <row r="53" spans="1:14" x14ac:dyDescent="0.25">
      <c r="A53" s="5" t="s">
        <v>697</v>
      </c>
      <c r="B53" s="5" t="s">
        <v>31</v>
      </c>
      <c r="C53" t="str">
        <f>_xlfn.XLOOKUP(tblSales[[#This Row],[Product_id]],Products!A:A,Products!C:C)</f>
        <v>Storage Equipment</v>
      </c>
      <c r="D53" s="5" t="s">
        <v>628</v>
      </c>
      <c r="E53" s="6" t="s">
        <v>569</v>
      </c>
      <c r="F53" s="7">
        <v>45775</v>
      </c>
      <c r="G53" s="5">
        <v>10</v>
      </c>
      <c r="H53" s="10">
        <f>_xlfn.XLOOKUP(tblSales[[#This Row],[Product_id]],Products!A:A,Products!E:E)</f>
        <v>510000</v>
      </c>
      <c r="I53" s="10">
        <f>_xlfn.XLOOKUP(tblSales[[#This Row],[Product_id]],Products!A:A,Products!F:F)</f>
        <v>690000</v>
      </c>
      <c r="J53" s="10">
        <f>tblSales[[#This Row],[Quantity_sold]]*tblSales[[#This Row],[Unit_Price]]</f>
        <v>6900000</v>
      </c>
      <c r="K53" s="5" t="str">
        <f t="shared" ca="1" si="0"/>
        <v>Cash</v>
      </c>
      <c r="L53" s="5" t="s">
        <v>651</v>
      </c>
      <c r="M53" s="5" t="s">
        <v>114</v>
      </c>
      <c r="N53" s="10">
        <f>tblSales[[#This Row],[Unit_Price]]*tblSales[[#This Row],[Quantity_sold]]-tblSales[[#This Row],[Cost_price]]*tblSales[[#This Row],[Quantity_sold]]</f>
        <v>1800000</v>
      </c>
    </row>
    <row r="54" spans="1:14" x14ac:dyDescent="0.25">
      <c r="A54" s="5" t="s">
        <v>698</v>
      </c>
      <c r="B54" s="5" t="s">
        <v>53</v>
      </c>
      <c r="C54" t="str">
        <f>_xlfn.XLOOKUP(tblSales[[#This Row],[Product_id]],Products!A:A,Products!C:C)</f>
        <v>Agricultural Equipment</v>
      </c>
      <c r="D54" s="5" t="s">
        <v>604</v>
      </c>
      <c r="E54" s="6" t="s">
        <v>545</v>
      </c>
      <c r="F54" s="7">
        <v>45772</v>
      </c>
      <c r="G54" s="5">
        <v>3</v>
      </c>
      <c r="H54" s="10">
        <f>_xlfn.XLOOKUP(tblSales[[#This Row],[Product_id]],Products!A:A,Products!E:E)</f>
        <v>165000</v>
      </c>
      <c r="I54" s="10">
        <f>_xlfn.XLOOKUP(tblSales[[#This Row],[Product_id]],Products!A:A,Products!F:F)</f>
        <v>230000</v>
      </c>
      <c r="J54" s="10">
        <f>tblSales[[#This Row],[Quantity_sold]]*tblSales[[#This Row],[Unit_Price]]</f>
        <v>690000</v>
      </c>
      <c r="K54" s="5" t="str">
        <f t="shared" ca="1" si="0"/>
        <v>Transfer</v>
      </c>
      <c r="L54" s="5" t="s">
        <v>256</v>
      </c>
      <c r="M54" s="5" t="s">
        <v>117</v>
      </c>
      <c r="N54" s="10">
        <f>tblSales[[#This Row],[Unit_Price]]*tblSales[[#This Row],[Quantity_sold]]-tblSales[[#This Row],[Cost_price]]*tblSales[[#This Row],[Quantity_sold]]</f>
        <v>195000</v>
      </c>
    </row>
    <row r="55" spans="1:14" x14ac:dyDescent="0.25">
      <c r="A55" s="5" t="s">
        <v>699</v>
      </c>
      <c r="B55" s="5" t="s">
        <v>23</v>
      </c>
      <c r="C55" t="str">
        <f>_xlfn.XLOOKUP(tblSales[[#This Row],[Product_id]],Products!A:A,Products!C:C)</f>
        <v>Agricultural Machine</v>
      </c>
      <c r="D55" s="5" t="s">
        <v>319</v>
      </c>
      <c r="E55" s="6" t="s">
        <v>320</v>
      </c>
      <c r="F55" s="7">
        <v>45763</v>
      </c>
      <c r="G55" s="5">
        <v>4</v>
      </c>
      <c r="H55" s="10">
        <f>_xlfn.XLOOKUP(tblSales[[#This Row],[Product_id]],Products!A:A,Products!E:E)</f>
        <v>680000</v>
      </c>
      <c r="I55" s="10">
        <f>_xlfn.XLOOKUP(tblSales[[#This Row],[Product_id]],Products!A:A,Products!F:F)</f>
        <v>890000</v>
      </c>
      <c r="J55" s="10">
        <f>tblSales[[#This Row],[Quantity_sold]]*tblSales[[#This Row],[Unit_Price]]</f>
        <v>3560000</v>
      </c>
      <c r="K55" s="5" t="str">
        <f t="shared" ca="1" si="0"/>
        <v>POS</v>
      </c>
      <c r="L55" s="5" t="s">
        <v>651</v>
      </c>
      <c r="M55" s="5" t="s">
        <v>119</v>
      </c>
      <c r="N55" s="10">
        <f>tblSales[[#This Row],[Unit_Price]]*tblSales[[#This Row],[Quantity_sold]]-tblSales[[#This Row],[Cost_price]]*tblSales[[#This Row],[Quantity_sold]]</f>
        <v>840000</v>
      </c>
    </row>
    <row r="56" spans="1:14" x14ac:dyDescent="0.25">
      <c r="A56" s="5" t="s">
        <v>700</v>
      </c>
      <c r="B56" s="5" t="s">
        <v>78</v>
      </c>
      <c r="C56" t="str">
        <f>_xlfn.XLOOKUP(tblSales[[#This Row],[Product_id]],Products!A:A,Products!C:C)</f>
        <v>Agricultural Equipment</v>
      </c>
      <c r="D56" s="5" t="s">
        <v>512</v>
      </c>
      <c r="E56" s="6" t="s">
        <v>388</v>
      </c>
      <c r="F56" s="7">
        <v>45765</v>
      </c>
      <c r="G56" s="5">
        <v>7</v>
      </c>
      <c r="H56" s="10">
        <f>_xlfn.XLOOKUP(tblSales[[#This Row],[Product_id]],Products!A:A,Products!E:E)</f>
        <v>56000</v>
      </c>
      <c r="I56" s="10">
        <f>_xlfn.XLOOKUP(tblSales[[#This Row],[Product_id]],Products!A:A,Products!F:F)</f>
        <v>85000</v>
      </c>
      <c r="J56" s="10">
        <f>tblSales[[#This Row],[Quantity_sold]]*tblSales[[#This Row],[Unit_Price]]</f>
        <v>595000</v>
      </c>
      <c r="K56" s="5" t="str">
        <f t="shared" ca="1" si="0"/>
        <v>Transfer</v>
      </c>
      <c r="L56" s="5" t="s">
        <v>648</v>
      </c>
      <c r="M56" s="5" t="s">
        <v>119</v>
      </c>
      <c r="N56" s="10">
        <f>tblSales[[#This Row],[Unit_Price]]*tblSales[[#This Row],[Quantity_sold]]-tblSales[[#This Row],[Cost_price]]*tblSales[[#This Row],[Quantity_sold]]</f>
        <v>203000</v>
      </c>
    </row>
    <row r="57" spans="1:14" x14ac:dyDescent="0.25">
      <c r="A57" s="5" t="s">
        <v>701</v>
      </c>
      <c r="B57" s="5" t="s">
        <v>29</v>
      </c>
      <c r="C57" t="str">
        <f>_xlfn.XLOOKUP(tblSales[[#This Row],[Product_id]],Products!A:A,Products!C:C)</f>
        <v>Processing Equipment</v>
      </c>
      <c r="D57" s="5" t="s">
        <v>429</v>
      </c>
      <c r="E57" s="6" t="s">
        <v>430</v>
      </c>
      <c r="F57" s="7">
        <v>45753</v>
      </c>
      <c r="G57" s="5">
        <v>16</v>
      </c>
      <c r="H57" s="10">
        <f>_xlfn.XLOOKUP(tblSales[[#This Row],[Product_id]],Products!A:A,Products!E:E)</f>
        <v>360000</v>
      </c>
      <c r="I57" s="10">
        <f>_xlfn.XLOOKUP(tblSales[[#This Row],[Product_id]],Products!A:A,Products!F:F)</f>
        <v>480000</v>
      </c>
      <c r="J57" s="10">
        <f>tblSales[[#This Row],[Quantity_sold]]*tblSales[[#This Row],[Unit_Price]]</f>
        <v>7680000</v>
      </c>
      <c r="K57" s="5" t="str">
        <f t="shared" ca="1" si="0"/>
        <v>Transfer</v>
      </c>
      <c r="L57" s="5" t="s">
        <v>256</v>
      </c>
      <c r="M57" s="5" t="s">
        <v>116</v>
      </c>
      <c r="N57" s="10">
        <f>tblSales[[#This Row],[Unit_Price]]*tblSales[[#This Row],[Quantity_sold]]-tblSales[[#This Row],[Cost_price]]*tblSales[[#This Row],[Quantity_sold]]</f>
        <v>1920000</v>
      </c>
    </row>
    <row r="58" spans="1:14" x14ac:dyDescent="0.25">
      <c r="A58" s="5" t="s">
        <v>702</v>
      </c>
      <c r="B58" s="5" t="s">
        <v>31</v>
      </c>
      <c r="C58" t="str">
        <f>_xlfn.XLOOKUP(tblSales[[#This Row],[Product_id]],Products!A:A,Products!C:C)</f>
        <v>Storage Equipment</v>
      </c>
      <c r="D58" s="5" t="s">
        <v>625</v>
      </c>
      <c r="E58" s="6" t="s">
        <v>566</v>
      </c>
      <c r="F58" s="7">
        <v>45776</v>
      </c>
      <c r="G58" s="5">
        <v>4</v>
      </c>
      <c r="H58" s="10">
        <f>_xlfn.XLOOKUP(tblSales[[#This Row],[Product_id]],Products!A:A,Products!E:E)</f>
        <v>510000</v>
      </c>
      <c r="I58" s="10">
        <f>_xlfn.XLOOKUP(tblSales[[#This Row],[Product_id]],Products!A:A,Products!F:F)</f>
        <v>690000</v>
      </c>
      <c r="J58" s="10">
        <f>tblSales[[#This Row],[Quantity_sold]]*tblSales[[#This Row],[Unit_Price]]</f>
        <v>2760000</v>
      </c>
      <c r="K58" s="5" t="str">
        <f t="shared" ca="1" si="0"/>
        <v>POS</v>
      </c>
      <c r="L58" s="5" t="s">
        <v>270</v>
      </c>
      <c r="M58" s="5" t="s">
        <v>119</v>
      </c>
      <c r="N58" s="10">
        <f>tblSales[[#This Row],[Unit_Price]]*tblSales[[#This Row],[Quantity_sold]]-tblSales[[#This Row],[Cost_price]]*tblSales[[#This Row],[Quantity_sold]]</f>
        <v>720000</v>
      </c>
    </row>
    <row r="59" spans="1:14" x14ac:dyDescent="0.25">
      <c r="A59" s="5" t="s">
        <v>703</v>
      </c>
      <c r="B59" s="5" t="s">
        <v>10</v>
      </c>
      <c r="C59" t="str">
        <f>_xlfn.XLOOKUP(tblSales[[#This Row],[Product_id]],Products!A:A,Products!C:C)</f>
        <v>Processing Equipment</v>
      </c>
      <c r="D59" s="5" t="s">
        <v>289</v>
      </c>
      <c r="E59" s="6" t="s">
        <v>290</v>
      </c>
      <c r="F59" s="7">
        <v>45752</v>
      </c>
      <c r="G59" s="5">
        <v>11</v>
      </c>
      <c r="H59" s="10">
        <f>_xlfn.XLOOKUP(tblSales[[#This Row],[Product_id]],Products!A:A,Products!E:E)</f>
        <v>520000</v>
      </c>
      <c r="I59" s="10">
        <f>_xlfn.XLOOKUP(tblSales[[#This Row],[Product_id]],Products!A:A,Products!F:F)</f>
        <v>680000</v>
      </c>
      <c r="J59" s="10">
        <f>tblSales[[#This Row],[Quantity_sold]]*tblSales[[#This Row],[Unit_Price]]</f>
        <v>7480000</v>
      </c>
      <c r="K59" s="5" t="str">
        <f t="shared" ca="1" si="0"/>
        <v>POS</v>
      </c>
      <c r="L59" s="5" t="s">
        <v>270</v>
      </c>
      <c r="M59" s="5" t="s">
        <v>879</v>
      </c>
      <c r="N59" s="10">
        <f>tblSales[[#This Row],[Unit_Price]]*tblSales[[#This Row],[Quantity_sold]]-tblSales[[#This Row],[Cost_price]]*tblSales[[#This Row],[Quantity_sold]]</f>
        <v>1760000</v>
      </c>
    </row>
    <row r="60" spans="1:14" x14ac:dyDescent="0.25">
      <c r="A60" s="5" t="s">
        <v>704</v>
      </c>
      <c r="B60" s="5" t="s">
        <v>54</v>
      </c>
      <c r="C60" t="str">
        <f>_xlfn.XLOOKUP(tblSales[[#This Row],[Product_id]],Products!A:A,Products!C:C)</f>
        <v>Processing Equipment</v>
      </c>
      <c r="D60" s="5" t="s">
        <v>471</v>
      </c>
      <c r="E60" s="6" t="s">
        <v>306</v>
      </c>
      <c r="F60" s="7">
        <v>45751</v>
      </c>
      <c r="G60" s="5">
        <v>5</v>
      </c>
      <c r="H60" s="10">
        <f>_xlfn.XLOOKUP(tblSales[[#This Row],[Product_id]],Products!A:A,Products!E:E)</f>
        <v>210000</v>
      </c>
      <c r="I60" s="10">
        <f>_xlfn.XLOOKUP(tblSales[[#This Row],[Product_id]],Products!A:A,Products!F:F)</f>
        <v>295000</v>
      </c>
      <c r="J60" s="10">
        <f>tblSales[[#This Row],[Quantity_sold]]*tblSales[[#This Row],[Unit_Price]]</f>
        <v>1475000</v>
      </c>
      <c r="K60" s="5" t="str">
        <f t="shared" ca="1" si="0"/>
        <v>POS</v>
      </c>
      <c r="L60" s="5" t="s">
        <v>648</v>
      </c>
      <c r="M60" s="5" t="s">
        <v>114</v>
      </c>
      <c r="N60" s="10">
        <f>tblSales[[#This Row],[Unit_Price]]*tblSales[[#This Row],[Quantity_sold]]-tblSales[[#This Row],[Cost_price]]*tblSales[[#This Row],[Quantity_sold]]</f>
        <v>425000</v>
      </c>
    </row>
    <row r="61" spans="1:14" x14ac:dyDescent="0.25">
      <c r="A61" s="5" t="s">
        <v>705</v>
      </c>
      <c r="B61" s="5" t="s">
        <v>65</v>
      </c>
      <c r="C61" t="str">
        <f>_xlfn.XLOOKUP(tblSales[[#This Row],[Product_id]],Products!A:A,Products!C:C)</f>
        <v>Power Equipment</v>
      </c>
      <c r="D61" s="5" t="s">
        <v>456</v>
      </c>
      <c r="E61" s="6" t="s">
        <v>276</v>
      </c>
      <c r="F61" s="7">
        <v>45749</v>
      </c>
      <c r="G61" s="5">
        <v>9</v>
      </c>
      <c r="H61" s="10">
        <f>_xlfn.XLOOKUP(tblSales[[#This Row],[Product_id]],Products!A:A,Products!E:E)</f>
        <v>52000</v>
      </c>
      <c r="I61" s="10">
        <f>_xlfn.XLOOKUP(tblSales[[#This Row],[Product_id]],Products!A:A,Products!F:F)</f>
        <v>78000</v>
      </c>
      <c r="J61" s="10">
        <f>tblSales[[#This Row],[Quantity_sold]]*tblSales[[#This Row],[Unit_Price]]</f>
        <v>702000</v>
      </c>
      <c r="K61" s="5" t="str">
        <f t="shared" ca="1" si="0"/>
        <v>Cash</v>
      </c>
      <c r="L61" s="5" t="s">
        <v>651</v>
      </c>
      <c r="M61" s="5" t="s">
        <v>879</v>
      </c>
      <c r="N61" s="10">
        <f>tblSales[[#This Row],[Unit_Price]]*tblSales[[#This Row],[Quantity_sold]]-tblSales[[#This Row],[Cost_price]]*tblSales[[#This Row],[Quantity_sold]]</f>
        <v>234000</v>
      </c>
    </row>
    <row r="62" spans="1:14" x14ac:dyDescent="0.25">
      <c r="A62" s="5" t="s">
        <v>706</v>
      </c>
      <c r="B62" s="5" t="s">
        <v>40</v>
      </c>
      <c r="C62" t="str">
        <f>_xlfn.XLOOKUP(tblSales[[#This Row],[Product_id]],Products!A:A,Products!C:C)</f>
        <v>Safety Equipment</v>
      </c>
      <c r="D62" s="5" t="s">
        <v>363</v>
      </c>
      <c r="E62" s="6" t="s">
        <v>364</v>
      </c>
      <c r="F62" s="7">
        <v>45768</v>
      </c>
      <c r="G62" s="5">
        <v>12</v>
      </c>
      <c r="H62" s="10">
        <f>_xlfn.XLOOKUP(tblSales[[#This Row],[Product_id]],Products!A:A,Products!E:E)</f>
        <v>12000</v>
      </c>
      <c r="I62" s="10">
        <f>_xlfn.XLOOKUP(tblSales[[#This Row],[Product_id]],Products!A:A,Products!F:F)</f>
        <v>20000</v>
      </c>
      <c r="J62" s="10">
        <f>tblSales[[#This Row],[Quantity_sold]]*tblSales[[#This Row],[Unit_Price]]</f>
        <v>240000</v>
      </c>
      <c r="K62" s="5" t="str">
        <f t="shared" ca="1" si="0"/>
        <v>POS</v>
      </c>
      <c r="L62" s="5" t="s">
        <v>651</v>
      </c>
      <c r="M62" s="5" t="s">
        <v>119</v>
      </c>
      <c r="N62" s="10">
        <f>tblSales[[#This Row],[Unit_Price]]*tblSales[[#This Row],[Quantity_sold]]-tblSales[[#This Row],[Cost_price]]*tblSales[[#This Row],[Quantity_sold]]</f>
        <v>96000</v>
      </c>
    </row>
    <row r="63" spans="1:14" x14ac:dyDescent="0.25">
      <c r="A63" s="5" t="s">
        <v>707</v>
      </c>
      <c r="B63" s="5" t="s">
        <v>55</v>
      </c>
      <c r="C63" t="str">
        <f>_xlfn.XLOOKUP(tblSales[[#This Row],[Product_id]],Products!A:A,Products!C:C)</f>
        <v>Storage Equipment</v>
      </c>
      <c r="D63" s="5" t="s">
        <v>407</v>
      </c>
      <c r="E63" s="6" t="s">
        <v>408</v>
      </c>
      <c r="F63" s="7">
        <v>45776</v>
      </c>
      <c r="G63" s="5">
        <v>6</v>
      </c>
      <c r="H63" s="10">
        <f>_xlfn.XLOOKUP(tblSales[[#This Row],[Product_id]],Products!A:A,Products!E:E)</f>
        <v>340000</v>
      </c>
      <c r="I63" s="10">
        <f>_xlfn.XLOOKUP(tblSales[[#This Row],[Product_id]],Products!A:A,Products!F:F)</f>
        <v>465000</v>
      </c>
      <c r="J63" s="10">
        <f>tblSales[[#This Row],[Quantity_sold]]*tblSales[[#This Row],[Unit_Price]]</f>
        <v>2790000</v>
      </c>
      <c r="K63" s="5" t="str">
        <f t="shared" ca="1" si="0"/>
        <v>Cash</v>
      </c>
      <c r="L63" s="5" t="s">
        <v>646</v>
      </c>
      <c r="M63" s="5" t="s">
        <v>115</v>
      </c>
      <c r="N63" s="10">
        <f>tblSales[[#This Row],[Unit_Price]]*tblSales[[#This Row],[Quantity_sold]]-tblSales[[#This Row],[Cost_price]]*tblSales[[#This Row],[Quantity_sold]]</f>
        <v>750000</v>
      </c>
    </row>
    <row r="64" spans="1:14" x14ac:dyDescent="0.25">
      <c r="A64" s="5" t="s">
        <v>708</v>
      </c>
      <c r="B64" s="5" t="s">
        <v>100</v>
      </c>
      <c r="C64" t="str">
        <f>_xlfn.XLOOKUP(tblSales[[#This Row],[Product_id]],Products!A:A,Products!C:C)</f>
        <v>Agricultural Equipment</v>
      </c>
      <c r="D64" s="5" t="s">
        <v>339</v>
      </c>
      <c r="E64" s="6" t="s">
        <v>340</v>
      </c>
      <c r="F64" s="7">
        <v>45775</v>
      </c>
      <c r="G64" s="5">
        <v>1</v>
      </c>
      <c r="H64" s="10">
        <f>_xlfn.XLOOKUP(tblSales[[#This Row],[Product_id]],Products!A:A,Products!E:E)</f>
        <v>42000</v>
      </c>
      <c r="I64" s="10">
        <f>_xlfn.XLOOKUP(tblSales[[#This Row],[Product_id]],Products!A:A,Products!F:F)</f>
        <v>68000</v>
      </c>
      <c r="J64" s="10">
        <f>tblSales[[#This Row],[Quantity_sold]]*tblSales[[#This Row],[Unit_Price]]</f>
        <v>68000</v>
      </c>
      <c r="K64" s="5" t="str">
        <f t="shared" ca="1" si="0"/>
        <v>Cash</v>
      </c>
      <c r="L64" s="5" t="s">
        <v>270</v>
      </c>
      <c r="M64" s="5" t="s">
        <v>114</v>
      </c>
      <c r="N64" s="10">
        <f>tblSales[[#This Row],[Unit_Price]]*tblSales[[#This Row],[Quantity_sold]]-tblSales[[#This Row],[Cost_price]]*tblSales[[#This Row],[Quantity_sold]]</f>
        <v>26000</v>
      </c>
    </row>
    <row r="65" spans="1:14" x14ac:dyDescent="0.25">
      <c r="A65" s="5" t="s">
        <v>709</v>
      </c>
      <c r="B65" s="5" t="s">
        <v>56</v>
      </c>
      <c r="C65" t="str">
        <f>_xlfn.XLOOKUP(tblSales[[#This Row],[Product_id]],Products!A:A,Products!C:C)</f>
        <v>Fabrication Tools</v>
      </c>
      <c r="D65" s="5" t="s">
        <v>492</v>
      </c>
      <c r="E65" s="6" t="s">
        <v>348</v>
      </c>
      <c r="F65" s="7">
        <v>45761</v>
      </c>
      <c r="G65" s="5">
        <v>7</v>
      </c>
      <c r="H65" s="10">
        <f>_xlfn.XLOOKUP(tblSales[[#This Row],[Product_id]],Products!A:A,Products!E:E)</f>
        <v>98000</v>
      </c>
      <c r="I65" s="10">
        <f>_xlfn.XLOOKUP(tblSales[[#This Row],[Product_id]],Products!A:A,Products!F:F)</f>
        <v>145000</v>
      </c>
      <c r="J65" s="10">
        <f>tblSales[[#This Row],[Quantity_sold]]*tblSales[[#This Row],[Unit_Price]]</f>
        <v>1015000</v>
      </c>
      <c r="K65" s="5" t="str">
        <f t="shared" ca="1" si="0"/>
        <v>POS</v>
      </c>
      <c r="L65" s="5" t="s">
        <v>651</v>
      </c>
      <c r="M65" s="5" t="s">
        <v>879</v>
      </c>
      <c r="N65" s="10">
        <f>tblSales[[#This Row],[Unit_Price]]*tblSales[[#This Row],[Quantity_sold]]-tblSales[[#This Row],[Cost_price]]*tblSales[[#This Row],[Quantity_sold]]</f>
        <v>329000</v>
      </c>
    </row>
    <row r="66" spans="1:14" x14ac:dyDescent="0.25">
      <c r="A66" s="5" t="s">
        <v>710</v>
      </c>
      <c r="B66" s="5" t="s">
        <v>102</v>
      </c>
      <c r="C66" t="str">
        <f>_xlfn.XLOOKUP(tblSales[[#This Row],[Product_id]],Products!A:A,Products!C:C)</f>
        <v>Harvesting Equipment</v>
      </c>
      <c r="D66" s="5" t="s">
        <v>498</v>
      </c>
      <c r="E66" s="6" t="s">
        <v>360</v>
      </c>
      <c r="F66" s="7">
        <v>45756</v>
      </c>
      <c r="G66" s="5">
        <v>8</v>
      </c>
      <c r="H66" s="10">
        <f>_xlfn.XLOOKUP(tblSales[[#This Row],[Product_id]],Products!A:A,Products!E:E)</f>
        <v>180000</v>
      </c>
      <c r="I66" s="10">
        <f>_xlfn.XLOOKUP(tblSales[[#This Row],[Product_id]],Products!A:A,Products!F:F)</f>
        <v>250000</v>
      </c>
      <c r="J66" s="10">
        <f>tblSales[[#This Row],[Quantity_sold]]*tblSales[[#This Row],[Unit_Price]]</f>
        <v>2000000</v>
      </c>
      <c r="K66" s="5" t="str">
        <f t="shared" ca="1" si="0"/>
        <v>Transfer</v>
      </c>
      <c r="L66" s="5" t="s">
        <v>648</v>
      </c>
      <c r="M66" s="5" t="s">
        <v>879</v>
      </c>
      <c r="N66" s="10">
        <f>tblSales[[#This Row],[Unit_Price]]*tblSales[[#This Row],[Quantity_sold]]-tblSales[[#This Row],[Cost_price]]*tblSales[[#This Row],[Quantity_sold]]</f>
        <v>560000</v>
      </c>
    </row>
    <row r="67" spans="1:14" x14ac:dyDescent="0.25">
      <c r="A67" s="5" t="s">
        <v>711</v>
      </c>
      <c r="B67" s="5" t="s">
        <v>81</v>
      </c>
      <c r="C67" t="str">
        <f>_xlfn.XLOOKUP(tblSales[[#This Row],[Product_id]],Products!A:A,Products!C:C)</f>
        <v>Processing Equipment</v>
      </c>
      <c r="D67" s="5" t="s">
        <v>489</v>
      </c>
      <c r="E67" s="6" t="s">
        <v>342</v>
      </c>
      <c r="F67" s="7">
        <v>45770</v>
      </c>
      <c r="G67" s="5">
        <v>2</v>
      </c>
      <c r="H67" s="10">
        <f>_xlfn.XLOOKUP(tblSales[[#This Row],[Product_id]],Products!A:A,Products!E:E)</f>
        <v>125000</v>
      </c>
      <c r="I67" s="10">
        <f>_xlfn.XLOOKUP(tblSales[[#This Row],[Product_id]],Products!A:A,Products!F:F)</f>
        <v>185000</v>
      </c>
      <c r="J67" s="10">
        <f>tblSales[[#This Row],[Quantity_sold]]*tblSales[[#This Row],[Unit_Price]]</f>
        <v>370000</v>
      </c>
      <c r="K67" s="5" t="str">
        <f t="shared" ca="1" si="0"/>
        <v>POS</v>
      </c>
      <c r="L67" s="5" t="s">
        <v>256</v>
      </c>
      <c r="M67" s="5" t="s">
        <v>117</v>
      </c>
      <c r="N67" s="10">
        <f>tblSales[[#This Row],[Unit_Price]]*tblSales[[#This Row],[Quantity_sold]]-tblSales[[#This Row],[Cost_price]]*tblSales[[#This Row],[Quantity_sold]]</f>
        <v>120000</v>
      </c>
    </row>
    <row r="68" spans="1:14" x14ac:dyDescent="0.25">
      <c r="A68" s="5" t="s">
        <v>712</v>
      </c>
      <c r="B68" s="5" t="s">
        <v>81</v>
      </c>
      <c r="C68" t="str">
        <f>_xlfn.XLOOKUP(tblSales[[#This Row],[Product_id]],Products!A:A,Products!C:C)</f>
        <v>Processing Equipment</v>
      </c>
      <c r="D68" s="5" t="s">
        <v>333</v>
      </c>
      <c r="E68" s="6" t="s">
        <v>334</v>
      </c>
      <c r="F68" s="7">
        <v>45775</v>
      </c>
      <c r="G68" s="5">
        <v>14</v>
      </c>
      <c r="H68" s="10">
        <f>_xlfn.XLOOKUP(tblSales[[#This Row],[Product_id]],Products!A:A,Products!E:E)</f>
        <v>125000</v>
      </c>
      <c r="I68" s="10">
        <f>_xlfn.XLOOKUP(tblSales[[#This Row],[Product_id]],Products!A:A,Products!F:F)</f>
        <v>185000</v>
      </c>
      <c r="J68" s="10">
        <f>tblSales[[#This Row],[Quantity_sold]]*tblSales[[#This Row],[Unit_Price]]</f>
        <v>2590000</v>
      </c>
      <c r="K68" s="5" t="str">
        <f t="shared" ca="1" si="0"/>
        <v>Transfer</v>
      </c>
      <c r="L68" s="5" t="s">
        <v>648</v>
      </c>
      <c r="M68" s="5" t="s">
        <v>116</v>
      </c>
      <c r="N68" s="10">
        <f>tblSales[[#This Row],[Unit_Price]]*tblSales[[#This Row],[Quantity_sold]]-tblSales[[#This Row],[Cost_price]]*tblSales[[#This Row],[Quantity_sold]]</f>
        <v>840000</v>
      </c>
    </row>
    <row r="69" spans="1:14" x14ac:dyDescent="0.25">
      <c r="A69" s="5" t="s">
        <v>713</v>
      </c>
      <c r="B69" s="5" t="s">
        <v>111</v>
      </c>
      <c r="C69" t="str">
        <f>_xlfn.XLOOKUP(tblSales[[#This Row],[Product_id]],Products!A:A,Products!C:C)</f>
        <v>Agricultural Equipment</v>
      </c>
      <c r="D69" s="5" t="s">
        <v>335</v>
      </c>
      <c r="E69" s="6" t="s">
        <v>336</v>
      </c>
      <c r="F69" s="7">
        <v>45748</v>
      </c>
      <c r="G69" s="5">
        <v>16</v>
      </c>
      <c r="H69" s="10">
        <f>_xlfn.XLOOKUP(tblSales[[#This Row],[Product_id]],Products!A:A,Products!E:E)</f>
        <v>26000</v>
      </c>
      <c r="I69" s="10">
        <f>_xlfn.XLOOKUP(tblSales[[#This Row],[Product_id]],Products!A:A,Products!F:F)</f>
        <v>38000</v>
      </c>
      <c r="J69" s="10">
        <f>tblSales[[#This Row],[Quantity_sold]]*tblSales[[#This Row],[Unit_Price]]</f>
        <v>608000</v>
      </c>
      <c r="K69" s="5" t="str">
        <f t="shared" ca="1" si="0"/>
        <v>Transfer</v>
      </c>
      <c r="L69" s="5" t="s">
        <v>256</v>
      </c>
      <c r="M69" s="5" t="s">
        <v>116</v>
      </c>
      <c r="N69" s="10">
        <f>tblSales[[#This Row],[Unit_Price]]*tblSales[[#This Row],[Quantity_sold]]-tblSales[[#This Row],[Cost_price]]*tblSales[[#This Row],[Quantity_sold]]</f>
        <v>192000</v>
      </c>
    </row>
    <row r="70" spans="1:14" x14ac:dyDescent="0.25">
      <c r="A70" s="5" t="s">
        <v>714</v>
      </c>
      <c r="B70" s="5" t="s">
        <v>61</v>
      </c>
      <c r="C70" t="str">
        <f>_xlfn.XLOOKUP(tblSales[[#This Row],[Product_id]],Products!A:A,Products!C:C)</f>
        <v>Processing Equipment</v>
      </c>
      <c r="D70" s="5" t="s">
        <v>609</v>
      </c>
      <c r="E70" s="6" t="s">
        <v>550</v>
      </c>
      <c r="F70" s="7">
        <v>45802</v>
      </c>
      <c r="G70" s="5">
        <v>10</v>
      </c>
      <c r="H70" s="10">
        <f>_xlfn.XLOOKUP(tblSales[[#This Row],[Product_id]],Products!A:A,Products!E:E)</f>
        <v>295000</v>
      </c>
      <c r="I70" s="10">
        <f>_xlfn.XLOOKUP(tblSales[[#This Row],[Product_id]],Products!A:A,Products!F:F)</f>
        <v>410000</v>
      </c>
      <c r="J70" s="10">
        <f>tblSales[[#This Row],[Quantity_sold]]*tblSales[[#This Row],[Unit_Price]]</f>
        <v>4100000</v>
      </c>
      <c r="K70" s="5" t="str">
        <f t="shared" ca="1" si="0"/>
        <v>POS</v>
      </c>
      <c r="L70" s="5" t="s">
        <v>648</v>
      </c>
      <c r="M70" s="5" t="s">
        <v>879</v>
      </c>
      <c r="N70" s="10">
        <f>tblSales[[#This Row],[Unit_Price]]*tblSales[[#This Row],[Quantity_sold]]-tblSales[[#This Row],[Cost_price]]*tblSales[[#This Row],[Quantity_sold]]</f>
        <v>1150000</v>
      </c>
    </row>
    <row r="71" spans="1:14" x14ac:dyDescent="0.25">
      <c r="A71" s="5" t="s">
        <v>715</v>
      </c>
      <c r="B71" s="5" t="s">
        <v>45</v>
      </c>
      <c r="C71" t="str">
        <f>_xlfn.XLOOKUP(tblSales[[#This Row],[Product_id]],Products!A:A,Products!C:C)</f>
        <v>Power Equipment</v>
      </c>
      <c r="D71" s="5" t="s">
        <v>485</v>
      </c>
      <c r="E71" s="6" t="s">
        <v>334</v>
      </c>
      <c r="F71" s="7">
        <v>45783</v>
      </c>
      <c r="G71" s="5">
        <v>12</v>
      </c>
      <c r="H71" s="10">
        <f>_xlfn.XLOOKUP(tblSales[[#This Row],[Product_id]],Products!A:A,Products!E:E)</f>
        <v>275000</v>
      </c>
      <c r="I71" s="10">
        <f>_xlfn.XLOOKUP(tblSales[[#This Row],[Product_id]],Products!A:A,Products!F:F)</f>
        <v>380000</v>
      </c>
      <c r="J71" s="10">
        <f>tblSales[[#This Row],[Quantity_sold]]*tblSales[[#This Row],[Unit_Price]]</f>
        <v>4560000</v>
      </c>
      <c r="K71" s="5" t="str">
        <f t="shared" ca="1" si="0"/>
        <v>POS</v>
      </c>
      <c r="L71" s="5" t="s">
        <v>252</v>
      </c>
      <c r="M71" s="5" t="s">
        <v>114</v>
      </c>
      <c r="N71" s="10">
        <f>tblSales[[#This Row],[Unit_Price]]*tblSales[[#This Row],[Quantity_sold]]-tblSales[[#This Row],[Cost_price]]*tblSales[[#This Row],[Quantity_sold]]</f>
        <v>1260000</v>
      </c>
    </row>
    <row r="72" spans="1:14" x14ac:dyDescent="0.25">
      <c r="A72" s="5" t="s">
        <v>716</v>
      </c>
      <c r="B72" s="5" t="s">
        <v>82</v>
      </c>
      <c r="C72" t="str">
        <f>_xlfn.XLOOKUP(tblSales[[#This Row],[Product_id]],Products!A:A,Products!C:C)</f>
        <v>Storage Equipment</v>
      </c>
      <c r="D72" s="5" t="s">
        <v>261</v>
      </c>
      <c r="E72" s="6" t="s">
        <v>262</v>
      </c>
      <c r="F72" s="7">
        <v>45787</v>
      </c>
      <c r="G72" s="5">
        <v>18</v>
      </c>
      <c r="H72" s="10">
        <f>_xlfn.XLOOKUP(tblSales[[#This Row],[Product_id]],Products!A:A,Products!E:E)</f>
        <v>40000</v>
      </c>
      <c r="I72" s="10">
        <f>_xlfn.XLOOKUP(tblSales[[#This Row],[Product_id]],Products!A:A,Products!F:F)</f>
        <v>65000</v>
      </c>
      <c r="J72" s="10">
        <f>tblSales[[#This Row],[Quantity_sold]]*tblSales[[#This Row],[Unit_Price]]</f>
        <v>1170000</v>
      </c>
      <c r="K72" s="5" t="str">
        <f t="shared" ca="1" si="0"/>
        <v>POS</v>
      </c>
      <c r="L72" s="5" t="s">
        <v>256</v>
      </c>
      <c r="M72" s="5" t="s">
        <v>117</v>
      </c>
      <c r="N72" s="10">
        <f>tblSales[[#This Row],[Unit_Price]]*tblSales[[#This Row],[Quantity_sold]]-tblSales[[#This Row],[Cost_price]]*tblSales[[#This Row],[Quantity_sold]]</f>
        <v>450000</v>
      </c>
    </row>
    <row r="73" spans="1:14" x14ac:dyDescent="0.25">
      <c r="A73" s="5" t="s">
        <v>717</v>
      </c>
      <c r="B73" s="5" t="s">
        <v>2</v>
      </c>
      <c r="C73" t="str">
        <f>_xlfn.XLOOKUP(tblSales[[#This Row],[Product_id]],Products!A:A,Products!C:C)</f>
        <v>Agricultural Machine</v>
      </c>
      <c r="D73" s="5" t="s">
        <v>277</v>
      </c>
      <c r="E73" s="6" t="s">
        <v>278</v>
      </c>
      <c r="F73" s="7">
        <v>45786</v>
      </c>
      <c r="G73" s="5">
        <v>12</v>
      </c>
      <c r="H73" s="10">
        <f>_xlfn.XLOOKUP(tblSales[[#This Row],[Product_id]],Products!A:A,Products!E:E)</f>
        <v>120000</v>
      </c>
      <c r="I73" s="10">
        <f>_xlfn.XLOOKUP(tblSales[[#This Row],[Product_id]],Products!A:A,Products!F:F)</f>
        <v>165000</v>
      </c>
      <c r="J73" s="10">
        <f>tblSales[[#This Row],[Quantity_sold]]*tblSales[[#This Row],[Unit_Price]]</f>
        <v>1980000</v>
      </c>
      <c r="K73" s="5" t="str">
        <f t="shared" ca="1" si="0"/>
        <v>Cash</v>
      </c>
      <c r="L73" s="5" t="s">
        <v>252</v>
      </c>
      <c r="M73" s="5" t="s">
        <v>114</v>
      </c>
      <c r="N73" s="10">
        <f>tblSales[[#This Row],[Unit_Price]]*tblSales[[#This Row],[Quantity_sold]]-tblSales[[#This Row],[Cost_price]]*tblSales[[#This Row],[Quantity_sold]]</f>
        <v>540000</v>
      </c>
    </row>
    <row r="74" spans="1:14" x14ac:dyDescent="0.25">
      <c r="A74" s="5" t="s">
        <v>718</v>
      </c>
      <c r="B74" s="5" t="s">
        <v>71</v>
      </c>
      <c r="C74" t="str">
        <f>_xlfn.XLOOKUP(tblSales[[#This Row],[Product_id]],Products!A:A,Products!C:C)</f>
        <v>Agricultural Machine</v>
      </c>
      <c r="D74" s="5" t="s">
        <v>448</v>
      </c>
      <c r="E74" s="6" t="s">
        <v>260</v>
      </c>
      <c r="F74" s="7">
        <v>45779</v>
      </c>
      <c r="G74" s="5">
        <v>6</v>
      </c>
      <c r="H74" s="10">
        <f>_xlfn.XLOOKUP(tblSales[[#This Row],[Product_id]],Products!A:A,Products!E:E)</f>
        <v>275000</v>
      </c>
      <c r="I74" s="10">
        <f>_xlfn.XLOOKUP(tblSales[[#This Row],[Product_id]],Products!A:A,Products!F:F)</f>
        <v>385000</v>
      </c>
      <c r="J74" s="10">
        <f>tblSales[[#This Row],[Quantity_sold]]*tblSales[[#This Row],[Unit_Price]]</f>
        <v>2310000</v>
      </c>
      <c r="K74" s="5" t="str">
        <f t="shared" ca="1" si="0"/>
        <v>Cash</v>
      </c>
      <c r="L74" s="5" t="s">
        <v>256</v>
      </c>
      <c r="M74" s="5" t="s">
        <v>114</v>
      </c>
      <c r="N74" s="10">
        <f>tblSales[[#This Row],[Unit_Price]]*tblSales[[#This Row],[Quantity_sold]]-tblSales[[#This Row],[Cost_price]]*tblSales[[#This Row],[Quantity_sold]]</f>
        <v>660000</v>
      </c>
    </row>
    <row r="75" spans="1:14" x14ac:dyDescent="0.25">
      <c r="A75" s="5" t="s">
        <v>719</v>
      </c>
      <c r="B75" s="5" t="s">
        <v>97</v>
      </c>
      <c r="C75" t="str">
        <f>_xlfn.XLOOKUP(tblSales[[#This Row],[Product_id]],Products!A:A,Products!C:C)</f>
        <v>Power Equipment</v>
      </c>
      <c r="D75" s="5" t="s">
        <v>477</v>
      </c>
      <c r="E75" s="6" t="s">
        <v>318</v>
      </c>
      <c r="F75" s="7">
        <v>45796</v>
      </c>
      <c r="G75" s="5">
        <v>10</v>
      </c>
      <c r="H75" s="10">
        <f>_xlfn.XLOOKUP(tblSales[[#This Row],[Product_id]],Products!A:A,Products!E:E)</f>
        <v>68000</v>
      </c>
      <c r="I75" s="10">
        <f>_xlfn.XLOOKUP(tblSales[[#This Row],[Product_id]],Products!A:A,Products!F:F)</f>
        <v>105000</v>
      </c>
      <c r="J75" s="10">
        <f>tblSales[[#This Row],[Quantity_sold]]*tblSales[[#This Row],[Unit_Price]]</f>
        <v>1050000</v>
      </c>
      <c r="K75" s="5" t="str">
        <f t="shared" ca="1" si="0"/>
        <v>POS</v>
      </c>
      <c r="L75" s="5" t="s">
        <v>651</v>
      </c>
      <c r="M75" s="5" t="s">
        <v>879</v>
      </c>
      <c r="N75" s="10">
        <f>tblSales[[#This Row],[Unit_Price]]*tblSales[[#This Row],[Quantity_sold]]-tblSales[[#This Row],[Cost_price]]*tblSales[[#This Row],[Quantity_sold]]</f>
        <v>370000</v>
      </c>
    </row>
    <row r="76" spans="1:14" x14ac:dyDescent="0.25">
      <c r="A76" s="5" t="s">
        <v>720</v>
      </c>
      <c r="B76" s="5" t="s">
        <v>14</v>
      </c>
      <c r="C76" t="str">
        <f>_xlfn.XLOOKUP(tblSales[[#This Row],[Product_id]],Products!A:A,Products!C:C)</f>
        <v>Agricultural Equipment</v>
      </c>
      <c r="D76" s="5" t="s">
        <v>518</v>
      </c>
      <c r="E76" s="6" t="s">
        <v>400</v>
      </c>
      <c r="F76" s="7">
        <v>45806</v>
      </c>
      <c r="G76" s="5">
        <v>10</v>
      </c>
      <c r="H76" s="10">
        <f>_xlfn.XLOOKUP(tblSales[[#This Row],[Product_id]],Products!A:A,Products!E:E)</f>
        <v>15000</v>
      </c>
      <c r="I76" s="10">
        <f>_xlfn.XLOOKUP(tblSales[[#This Row],[Product_id]],Products!A:A,Products!F:F)</f>
        <v>24000</v>
      </c>
      <c r="J76" s="10">
        <f>tblSales[[#This Row],[Quantity_sold]]*tblSales[[#This Row],[Unit_Price]]</f>
        <v>240000</v>
      </c>
      <c r="K76" s="5" t="str">
        <f t="shared" ca="1" si="0"/>
        <v>Transfer</v>
      </c>
      <c r="L76" s="5" t="s">
        <v>252</v>
      </c>
      <c r="M76" s="5" t="s">
        <v>119</v>
      </c>
      <c r="N76" s="10">
        <f>tblSales[[#This Row],[Unit_Price]]*tblSales[[#This Row],[Quantity_sold]]-tblSales[[#This Row],[Cost_price]]*tblSales[[#This Row],[Quantity_sold]]</f>
        <v>90000</v>
      </c>
    </row>
    <row r="77" spans="1:14" x14ac:dyDescent="0.25">
      <c r="A77" s="5" t="s">
        <v>721</v>
      </c>
      <c r="B77" s="5" t="s">
        <v>91</v>
      </c>
      <c r="C77" t="str">
        <f>_xlfn.XLOOKUP(tblSales[[#This Row],[Product_id]],Products!A:A,Products!C:C)</f>
        <v>Storage Equipment</v>
      </c>
      <c r="D77" s="5" t="s">
        <v>289</v>
      </c>
      <c r="E77" s="6" t="s">
        <v>290</v>
      </c>
      <c r="F77" s="7">
        <v>45783</v>
      </c>
      <c r="G77" s="5">
        <v>16</v>
      </c>
      <c r="H77" s="10">
        <f>_xlfn.XLOOKUP(tblSales[[#This Row],[Product_id]],Products!A:A,Products!E:E)</f>
        <v>38000</v>
      </c>
      <c r="I77" s="10">
        <f>_xlfn.XLOOKUP(tblSales[[#This Row],[Product_id]],Products!A:A,Products!F:F)</f>
        <v>62000</v>
      </c>
      <c r="J77" s="10">
        <f>tblSales[[#This Row],[Quantity_sold]]*tblSales[[#This Row],[Unit_Price]]</f>
        <v>992000</v>
      </c>
      <c r="K77" s="5" t="str">
        <f t="shared" ca="1" si="0"/>
        <v>Cash</v>
      </c>
      <c r="L77" s="5" t="s">
        <v>252</v>
      </c>
      <c r="M77" s="5" t="s">
        <v>114</v>
      </c>
      <c r="N77" s="10">
        <f>tblSales[[#This Row],[Unit_Price]]*tblSales[[#This Row],[Quantity_sold]]-tblSales[[#This Row],[Cost_price]]*tblSales[[#This Row],[Quantity_sold]]</f>
        <v>384000</v>
      </c>
    </row>
    <row r="78" spans="1:14" x14ac:dyDescent="0.25">
      <c r="A78" s="5" t="s">
        <v>722</v>
      </c>
      <c r="B78" s="5" t="s">
        <v>105</v>
      </c>
      <c r="C78" t="str">
        <f>_xlfn.XLOOKUP(tblSales[[#This Row],[Product_id]],Products!A:A,Products!C:C)</f>
        <v>Agricultural Equipment</v>
      </c>
      <c r="D78" s="5" t="s">
        <v>438</v>
      </c>
      <c r="E78" s="6" t="s">
        <v>118</v>
      </c>
      <c r="F78" s="7">
        <v>45781</v>
      </c>
      <c r="G78" s="5">
        <v>11</v>
      </c>
      <c r="H78" s="10">
        <f>_xlfn.XLOOKUP(tblSales[[#This Row],[Product_id]],Products!A:A,Products!E:E)</f>
        <v>45000</v>
      </c>
      <c r="I78" s="10">
        <f>_xlfn.XLOOKUP(tblSales[[#This Row],[Product_id]],Products!A:A,Products!F:F)</f>
        <v>70000</v>
      </c>
      <c r="J78" s="10">
        <f>tblSales[[#This Row],[Quantity_sold]]*tblSales[[#This Row],[Unit_Price]]</f>
        <v>770000</v>
      </c>
      <c r="K78" s="5" t="str">
        <f t="shared" ca="1" si="0"/>
        <v>POS</v>
      </c>
      <c r="L78" s="5" t="s">
        <v>646</v>
      </c>
      <c r="M78" s="5" t="s">
        <v>879</v>
      </c>
      <c r="N78" s="10">
        <f>tblSales[[#This Row],[Unit_Price]]*tblSales[[#This Row],[Quantity_sold]]-tblSales[[#This Row],[Cost_price]]*tblSales[[#This Row],[Quantity_sold]]</f>
        <v>275000</v>
      </c>
    </row>
    <row r="79" spans="1:14" x14ac:dyDescent="0.25">
      <c r="A79" s="5" t="s">
        <v>723</v>
      </c>
      <c r="B79" s="5" t="s">
        <v>20</v>
      </c>
      <c r="C79" t="str">
        <f>_xlfn.XLOOKUP(tblSales[[#This Row],[Product_id]],Products!A:A,Products!C:C)</f>
        <v>Agricultural Machine</v>
      </c>
      <c r="D79" s="5" t="s">
        <v>307</v>
      </c>
      <c r="E79" s="6" t="s">
        <v>308</v>
      </c>
      <c r="F79" s="7">
        <v>45792</v>
      </c>
      <c r="G79" s="5">
        <v>5</v>
      </c>
      <c r="H79" s="10">
        <f>_xlfn.XLOOKUP(tblSales[[#This Row],[Product_id]],Products!A:A,Products!E:E)</f>
        <v>140000</v>
      </c>
      <c r="I79" s="10">
        <f>_xlfn.XLOOKUP(tblSales[[#This Row],[Product_id]],Products!A:A,Products!F:F)</f>
        <v>195000</v>
      </c>
      <c r="J79" s="10">
        <f>tblSales[[#This Row],[Quantity_sold]]*tblSales[[#This Row],[Unit_Price]]</f>
        <v>975000</v>
      </c>
      <c r="K79" s="5" t="str">
        <f t="shared" ca="1" si="0"/>
        <v>POS</v>
      </c>
      <c r="L79" s="5" t="s">
        <v>646</v>
      </c>
      <c r="M79" s="5" t="s">
        <v>116</v>
      </c>
      <c r="N79" s="10">
        <f>tblSales[[#This Row],[Unit_Price]]*tblSales[[#This Row],[Quantity_sold]]-tblSales[[#This Row],[Cost_price]]*tblSales[[#This Row],[Quantity_sold]]</f>
        <v>275000</v>
      </c>
    </row>
    <row r="80" spans="1:14" x14ac:dyDescent="0.25">
      <c r="A80" s="5" t="s">
        <v>724</v>
      </c>
      <c r="B80" s="5" t="s">
        <v>100</v>
      </c>
      <c r="C80" t="str">
        <f>_xlfn.XLOOKUP(tblSales[[#This Row],[Product_id]],Products!A:A,Products!C:C)</f>
        <v>Agricultural Equipment</v>
      </c>
      <c r="D80" s="5" t="s">
        <v>497</v>
      </c>
      <c r="E80" s="6" t="s">
        <v>358</v>
      </c>
      <c r="F80" s="7">
        <v>45803</v>
      </c>
      <c r="G80" s="5">
        <v>10</v>
      </c>
      <c r="H80" s="10">
        <f>_xlfn.XLOOKUP(tblSales[[#This Row],[Product_id]],Products!A:A,Products!E:E)</f>
        <v>42000</v>
      </c>
      <c r="I80" s="10">
        <f>_xlfn.XLOOKUP(tblSales[[#This Row],[Product_id]],Products!A:A,Products!F:F)</f>
        <v>68000</v>
      </c>
      <c r="J80" s="10">
        <f>tblSales[[#This Row],[Quantity_sold]]*tblSales[[#This Row],[Unit_Price]]</f>
        <v>680000</v>
      </c>
      <c r="K80" s="5" t="str">
        <f t="shared" ca="1" si="0"/>
        <v>Cash</v>
      </c>
      <c r="L80" s="5" t="s">
        <v>651</v>
      </c>
      <c r="M80" s="5" t="s">
        <v>119</v>
      </c>
      <c r="N80" s="10">
        <f>tblSales[[#This Row],[Unit_Price]]*tblSales[[#This Row],[Quantity_sold]]-tblSales[[#This Row],[Cost_price]]*tblSales[[#This Row],[Quantity_sold]]</f>
        <v>260000</v>
      </c>
    </row>
    <row r="81" spans="1:14" x14ac:dyDescent="0.25">
      <c r="A81" s="5" t="s">
        <v>725</v>
      </c>
      <c r="B81" s="5" t="s">
        <v>98</v>
      </c>
      <c r="C81" t="str">
        <f>_xlfn.XLOOKUP(tblSales[[#This Row],[Product_id]],Products!A:A,Products!C:C)</f>
        <v>Agricultural Equipment</v>
      </c>
      <c r="D81" s="5" t="s">
        <v>411</v>
      </c>
      <c r="E81" s="6" t="s">
        <v>412</v>
      </c>
      <c r="F81" s="7">
        <v>45780</v>
      </c>
      <c r="G81" s="5">
        <v>16</v>
      </c>
      <c r="H81" s="10">
        <f>_xlfn.XLOOKUP(tblSales[[#This Row],[Product_id]],Products!A:A,Products!E:E)</f>
        <v>115000</v>
      </c>
      <c r="I81" s="10">
        <f>_xlfn.XLOOKUP(tblSales[[#This Row],[Product_id]],Products!A:A,Products!F:F)</f>
        <v>165000</v>
      </c>
      <c r="J81" s="10">
        <f>tblSales[[#This Row],[Quantity_sold]]*tblSales[[#This Row],[Unit_Price]]</f>
        <v>2640000</v>
      </c>
      <c r="K81" s="5" t="str">
        <f t="shared" ca="1" si="0"/>
        <v>Cash</v>
      </c>
      <c r="L81" s="5" t="s">
        <v>651</v>
      </c>
      <c r="M81" s="5" t="s">
        <v>115</v>
      </c>
      <c r="N81" s="10">
        <f>tblSales[[#This Row],[Unit_Price]]*tblSales[[#This Row],[Quantity_sold]]-tblSales[[#This Row],[Cost_price]]*tblSales[[#This Row],[Quantity_sold]]</f>
        <v>800000</v>
      </c>
    </row>
    <row r="82" spans="1:14" x14ac:dyDescent="0.25">
      <c r="A82" s="5" t="s">
        <v>726</v>
      </c>
      <c r="B82" s="5" t="s">
        <v>76</v>
      </c>
      <c r="C82" t="str">
        <f>_xlfn.XLOOKUP(tblSales[[#This Row],[Product_id]],Products!A:A,Products!C:C)</f>
        <v>Agricultural Structure</v>
      </c>
      <c r="D82" s="5" t="s">
        <v>504</v>
      </c>
      <c r="E82" s="6" t="s">
        <v>372</v>
      </c>
      <c r="F82" s="7">
        <v>45808</v>
      </c>
      <c r="G82" s="5">
        <v>15</v>
      </c>
      <c r="H82" s="10">
        <f>_xlfn.XLOOKUP(tblSales[[#This Row],[Product_id]],Products!A:A,Products!E:E)</f>
        <v>145000</v>
      </c>
      <c r="I82" s="10">
        <f>_xlfn.XLOOKUP(tblSales[[#This Row],[Product_id]],Products!A:A,Products!F:F)</f>
        <v>205000</v>
      </c>
      <c r="J82" s="10">
        <f>tblSales[[#This Row],[Quantity_sold]]*tblSales[[#This Row],[Unit_Price]]</f>
        <v>3075000</v>
      </c>
      <c r="K82" s="5" t="str">
        <f t="shared" ref="K82:K113" ca="1" si="1">CHOOSE(RANDBETWEEN(1,3), "Cash", "Transfer", "POS")</f>
        <v>POS</v>
      </c>
      <c r="L82" s="5" t="s">
        <v>646</v>
      </c>
      <c r="M82" s="5" t="s">
        <v>117</v>
      </c>
      <c r="N82" s="10">
        <f>tblSales[[#This Row],[Unit_Price]]*tblSales[[#This Row],[Quantity_sold]]-tblSales[[#This Row],[Cost_price]]*tblSales[[#This Row],[Quantity_sold]]</f>
        <v>900000</v>
      </c>
    </row>
    <row r="83" spans="1:14" x14ac:dyDescent="0.25">
      <c r="A83" s="5" t="s">
        <v>727</v>
      </c>
      <c r="B83" s="5" t="s">
        <v>102</v>
      </c>
      <c r="C83" t="str">
        <f>_xlfn.XLOOKUP(tblSales[[#This Row],[Product_id]],Products!A:A,Products!C:C)</f>
        <v>Harvesting Equipment</v>
      </c>
      <c r="D83" s="5" t="s">
        <v>630</v>
      </c>
      <c r="E83" s="6" t="s">
        <v>571</v>
      </c>
      <c r="F83" s="7">
        <v>45782</v>
      </c>
      <c r="G83" s="5">
        <v>1</v>
      </c>
      <c r="H83" s="10">
        <f>_xlfn.XLOOKUP(tblSales[[#This Row],[Product_id]],Products!A:A,Products!E:E)</f>
        <v>180000</v>
      </c>
      <c r="I83" s="10">
        <f>_xlfn.XLOOKUP(tblSales[[#This Row],[Product_id]],Products!A:A,Products!F:F)</f>
        <v>250000</v>
      </c>
      <c r="J83" s="10">
        <f>tblSales[[#This Row],[Quantity_sold]]*tblSales[[#This Row],[Unit_Price]]</f>
        <v>250000</v>
      </c>
      <c r="K83" s="5" t="str">
        <f t="shared" ca="1" si="1"/>
        <v>Cash</v>
      </c>
      <c r="L83" s="5" t="s">
        <v>256</v>
      </c>
      <c r="M83" s="5" t="s">
        <v>114</v>
      </c>
      <c r="N83" s="10">
        <f>tblSales[[#This Row],[Unit_Price]]*tblSales[[#This Row],[Quantity_sold]]-tblSales[[#This Row],[Cost_price]]*tblSales[[#This Row],[Quantity_sold]]</f>
        <v>70000</v>
      </c>
    </row>
    <row r="84" spans="1:14" x14ac:dyDescent="0.25">
      <c r="A84" s="5" t="s">
        <v>728</v>
      </c>
      <c r="B84" s="5" t="s">
        <v>59</v>
      </c>
      <c r="C84" t="str">
        <f>_xlfn.XLOOKUP(tblSales[[#This Row],[Product_id]],Products!A:A,Products!C:C)</f>
        <v>Safety Equipment</v>
      </c>
      <c r="D84" s="5" t="s">
        <v>281</v>
      </c>
      <c r="E84" s="6" t="s">
        <v>282</v>
      </c>
      <c r="F84" s="7">
        <v>45784</v>
      </c>
      <c r="G84" s="5">
        <v>17</v>
      </c>
      <c r="H84" s="10">
        <f>_xlfn.XLOOKUP(tblSales[[#This Row],[Product_id]],Products!A:A,Products!E:E)</f>
        <v>22000</v>
      </c>
      <c r="I84" s="10">
        <f>_xlfn.XLOOKUP(tblSales[[#This Row],[Product_id]],Products!A:A,Products!F:F)</f>
        <v>36000</v>
      </c>
      <c r="J84" s="10">
        <f>tblSales[[#This Row],[Quantity_sold]]*tblSales[[#This Row],[Unit_Price]]</f>
        <v>612000</v>
      </c>
      <c r="K84" s="5" t="str">
        <f t="shared" ca="1" si="1"/>
        <v>POS</v>
      </c>
      <c r="L84" s="5" t="s">
        <v>646</v>
      </c>
      <c r="M84" s="5" t="s">
        <v>879</v>
      </c>
      <c r="N84" s="10">
        <f>tblSales[[#This Row],[Unit_Price]]*tblSales[[#This Row],[Quantity_sold]]-tblSales[[#This Row],[Cost_price]]*tblSales[[#This Row],[Quantity_sold]]</f>
        <v>238000</v>
      </c>
    </row>
    <row r="85" spans="1:14" x14ac:dyDescent="0.25">
      <c r="A85" s="5" t="s">
        <v>729</v>
      </c>
      <c r="B85" s="5" t="s">
        <v>39</v>
      </c>
      <c r="C85" t="str">
        <f>_xlfn.XLOOKUP(tblSales[[#This Row],[Product_id]],Products!A:A,Products!C:C)</f>
        <v>Fabrication Tools</v>
      </c>
      <c r="D85" s="5" t="s">
        <v>383</v>
      </c>
      <c r="E85" s="6" t="s">
        <v>384</v>
      </c>
      <c r="F85" s="7">
        <v>45779</v>
      </c>
      <c r="G85" s="5">
        <v>7</v>
      </c>
      <c r="H85" s="10">
        <f>_xlfn.XLOOKUP(tblSales[[#This Row],[Product_id]],Products!A:A,Products!E:E)</f>
        <v>88000</v>
      </c>
      <c r="I85" s="10">
        <f>_xlfn.XLOOKUP(tblSales[[#This Row],[Product_id]],Products!A:A,Products!F:F)</f>
        <v>125000</v>
      </c>
      <c r="J85" s="10">
        <f>tblSales[[#This Row],[Quantity_sold]]*tblSales[[#This Row],[Unit_Price]]</f>
        <v>875000</v>
      </c>
      <c r="K85" s="5" t="str">
        <f t="shared" ca="1" si="1"/>
        <v>Cash</v>
      </c>
      <c r="L85" s="5" t="s">
        <v>651</v>
      </c>
      <c r="M85" s="5" t="s">
        <v>117</v>
      </c>
      <c r="N85" s="10">
        <f>tblSales[[#This Row],[Unit_Price]]*tblSales[[#This Row],[Quantity_sold]]-tblSales[[#This Row],[Cost_price]]*tblSales[[#This Row],[Quantity_sold]]</f>
        <v>259000</v>
      </c>
    </row>
    <row r="86" spans="1:14" x14ac:dyDescent="0.25">
      <c r="A86" s="5" t="s">
        <v>730</v>
      </c>
      <c r="B86" s="5" t="s">
        <v>46</v>
      </c>
      <c r="C86" t="str">
        <f>_xlfn.XLOOKUP(tblSales[[#This Row],[Product_id]],Products!A:A,Products!C:C)</f>
        <v>Power Equipment</v>
      </c>
      <c r="D86" s="5" t="s">
        <v>582</v>
      </c>
      <c r="E86" s="6" t="s">
        <v>430</v>
      </c>
      <c r="F86" s="7">
        <v>45783</v>
      </c>
      <c r="G86" s="5">
        <v>1</v>
      </c>
      <c r="H86" s="10">
        <f>_xlfn.XLOOKUP(tblSales[[#This Row],[Product_id]],Products!A:A,Products!E:E)</f>
        <v>65000</v>
      </c>
      <c r="I86" s="10">
        <f>_xlfn.XLOOKUP(tblSales[[#This Row],[Product_id]],Products!A:A,Products!F:F)</f>
        <v>95000</v>
      </c>
      <c r="J86" s="10">
        <f>tblSales[[#This Row],[Quantity_sold]]*tblSales[[#This Row],[Unit_Price]]</f>
        <v>95000</v>
      </c>
      <c r="K86" s="5" t="str">
        <f t="shared" ca="1" si="1"/>
        <v>POS</v>
      </c>
      <c r="L86" s="5" t="s">
        <v>252</v>
      </c>
      <c r="M86" s="5" t="s">
        <v>879</v>
      </c>
      <c r="N86" s="10">
        <f>tblSales[[#This Row],[Unit_Price]]*tblSales[[#This Row],[Quantity_sold]]-tblSales[[#This Row],[Cost_price]]*tblSales[[#This Row],[Quantity_sold]]</f>
        <v>30000</v>
      </c>
    </row>
    <row r="87" spans="1:14" x14ac:dyDescent="0.25">
      <c r="A87" s="5" t="s">
        <v>731</v>
      </c>
      <c r="B87" s="5" t="s">
        <v>105</v>
      </c>
      <c r="C87" t="str">
        <f>_xlfn.XLOOKUP(tblSales[[#This Row],[Product_id]],Products!A:A,Products!C:C)</f>
        <v>Agricultural Equipment</v>
      </c>
      <c r="D87" s="5" t="s">
        <v>443</v>
      </c>
      <c r="E87" s="6" t="s">
        <v>250</v>
      </c>
      <c r="F87" s="7">
        <v>45817</v>
      </c>
      <c r="G87" s="5">
        <v>6</v>
      </c>
      <c r="H87" s="10">
        <f>_xlfn.XLOOKUP(tblSales[[#This Row],[Product_id]],Products!A:A,Products!E:E)</f>
        <v>45000</v>
      </c>
      <c r="I87" s="10">
        <f>_xlfn.XLOOKUP(tblSales[[#This Row],[Product_id]],Products!A:A,Products!F:F)</f>
        <v>70000</v>
      </c>
      <c r="J87" s="10">
        <f>tblSales[[#This Row],[Quantity_sold]]*tblSales[[#This Row],[Unit_Price]]</f>
        <v>420000</v>
      </c>
      <c r="K87" s="5" t="str">
        <f t="shared" ca="1" si="1"/>
        <v>POS</v>
      </c>
      <c r="L87" s="5" t="s">
        <v>256</v>
      </c>
      <c r="M87" s="5" t="s">
        <v>117</v>
      </c>
      <c r="N87" s="10">
        <f>tblSales[[#This Row],[Unit_Price]]*tblSales[[#This Row],[Quantity_sold]]-tblSales[[#This Row],[Cost_price]]*tblSales[[#This Row],[Quantity_sold]]</f>
        <v>150000</v>
      </c>
    </row>
    <row r="88" spans="1:14" x14ac:dyDescent="0.25">
      <c r="A88" s="5" t="s">
        <v>732</v>
      </c>
      <c r="B88" s="5" t="s">
        <v>70</v>
      </c>
      <c r="C88" t="str">
        <f>_xlfn.XLOOKUP(tblSales[[#This Row],[Product_id]],Products!A:A,Products!C:C)</f>
        <v>Storage Equipment</v>
      </c>
      <c r="D88" s="5" t="s">
        <v>305</v>
      </c>
      <c r="E88" s="6" t="s">
        <v>306</v>
      </c>
      <c r="F88" s="7">
        <v>45814</v>
      </c>
      <c r="G88" s="5">
        <v>19</v>
      </c>
      <c r="H88" s="10">
        <f>_xlfn.XLOOKUP(tblSales[[#This Row],[Product_id]],Products!A:A,Products!E:E)</f>
        <v>210000</v>
      </c>
      <c r="I88" s="10">
        <f>_xlfn.XLOOKUP(tblSales[[#This Row],[Product_id]],Products!A:A,Products!F:F)</f>
        <v>295000</v>
      </c>
      <c r="J88" s="10">
        <f>tblSales[[#This Row],[Quantity_sold]]*tblSales[[#This Row],[Unit_Price]]</f>
        <v>5605000</v>
      </c>
      <c r="K88" s="5" t="str">
        <f t="shared" ca="1" si="1"/>
        <v>POS</v>
      </c>
      <c r="L88" s="5" t="s">
        <v>270</v>
      </c>
      <c r="M88" s="5" t="s">
        <v>114</v>
      </c>
      <c r="N88" s="10">
        <f>tblSales[[#This Row],[Unit_Price]]*tblSales[[#This Row],[Quantity_sold]]-tblSales[[#This Row],[Cost_price]]*tblSales[[#This Row],[Quantity_sold]]</f>
        <v>1615000</v>
      </c>
    </row>
    <row r="89" spans="1:14" x14ac:dyDescent="0.25">
      <c r="A89" s="5" t="s">
        <v>733</v>
      </c>
      <c r="B89" s="5" t="s">
        <v>109</v>
      </c>
      <c r="C89" t="str">
        <f>_xlfn.XLOOKUP(tblSales[[#This Row],[Product_id]],Products!A:A,Products!C:C)</f>
        <v>Agricultural Equipment</v>
      </c>
      <c r="D89" s="5" t="s">
        <v>519</v>
      </c>
      <c r="E89" s="6" t="s">
        <v>402</v>
      </c>
      <c r="F89" s="7">
        <v>45837</v>
      </c>
      <c r="G89" s="5">
        <v>19</v>
      </c>
      <c r="H89" s="10">
        <f>_xlfn.XLOOKUP(tblSales[[#This Row],[Product_id]],Products!A:A,Products!E:E)</f>
        <v>12000</v>
      </c>
      <c r="I89" s="10">
        <f>_xlfn.XLOOKUP(tblSales[[#This Row],[Product_id]],Products!A:A,Products!F:F)</f>
        <v>19000</v>
      </c>
      <c r="J89" s="10">
        <f>tblSales[[#This Row],[Quantity_sold]]*tblSales[[#This Row],[Unit_Price]]</f>
        <v>361000</v>
      </c>
      <c r="K89" s="5" t="str">
        <f t="shared" ca="1" si="1"/>
        <v>POS</v>
      </c>
      <c r="L89" s="5" t="s">
        <v>256</v>
      </c>
      <c r="M89" s="5" t="s">
        <v>116</v>
      </c>
      <c r="N89" s="10">
        <f>tblSales[[#This Row],[Unit_Price]]*tblSales[[#This Row],[Quantity_sold]]-tblSales[[#This Row],[Cost_price]]*tblSales[[#This Row],[Quantity_sold]]</f>
        <v>133000</v>
      </c>
    </row>
    <row r="90" spans="1:14" x14ac:dyDescent="0.25">
      <c r="A90" s="5" t="s">
        <v>734</v>
      </c>
      <c r="B90" s="5" t="s">
        <v>96</v>
      </c>
      <c r="C90" t="str">
        <f>_xlfn.XLOOKUP(tblSales[[#This Row],[Product_id]],Products!A:A,Products!C:C)</f>
        <v>Industrial Equipment</v>
      </c>
      <c r="D90" s="5" t="s">
        <v>331</v>
      </c>
      <c r="E90" s="6" t="s">
        <v>332</v>
      </c>
      <c r="F90" s="7">
        <v>45825</v>
      </c>
      <c r="G90" s="5">
        <v>15</v>
      </c>
      <c r="H90" s="10">
        <f>_xlfn.XLOOKUP(tblSales[[#This Row],[Product_id]],Products!A:A,Products!E:E)</f>
        <v>320000</v>
      </c>
      <c r="I90" s="10">
        <f>_xlfn.XLOOKUP(tblSales[[#This Row],[Product_id]],Products!A:A,Products!F:F)</f>
        <v>450000</v>
      </c>
      <c r="J90" s="10">
        <f>tblSales[[#This Row],[Quantity_sold]]*tblSales[[#This Row],[Unit_Price]]</f>
        <v>6750000</v>
      </c>
      <c r="K90" s="5" t="str">
        <f t="shared" ca="1" si="1"/>
        <v>Transfer</v>
      </c>
      <c r="L90" s="5" t="s">
        <v>256</v>
      </c>
      <c r="M90" s="5" t="s">
        <v>116</v>
      </c>
      <c r="N90" s="10">
        <f>tblSales[[#This Row],[Unit_Price]]*tblSales[[#This Row],[Quantity_sold]]-tblSales[[#This Row],[Cost_price]]*tblSales[[#This Row],[Quantity_sold]]</f>
        <v>1950000</v>
      </c>
    </row>
    <row r="91" spans="1:14" x14ac:dyDescent="0.25">
      <c r="A91" s="5" t="s">
        <v>735</v>
      </c>
      <c r="B91" s="5" t="s">
        <v>4</v>
      </c>
      <c r="C91" t="str">
        <f>_xlfn.XLOOKUP(tblSales[[#This Row],[Product_id]],Products!A:A,Products!C:C)</f>
        <v>Agricultural Machine</v>
      </c>
      <c r="D91" s="5" t="s">
        <v>634</v>
      </c>
      <c r="E91" s="6" t="s">
        <v>574</v>
      </c>
      <c r="F91" s="7">
        <v>45832</v>
      </c>
      <c r="G91" s="5">
        <v>5</v>
      </c>
      <c r="H91" s="10">
        <f>_xlfn.XLOOKUP(tblSales[[#This Row],[Product_id]],Products!A:A,Products!E:E)</f>
        <v>180000</v>
      </c>
      <c r="I91" s="10">
        <f>_xlfn.XLOOKUP(tblSales[[#This Row],[Product_id]],Products!A:A,Products!F:F)</f>
        <v>245000</v>
      </c>
      <c r="J91" s="10">
        <f>tblSales[[#This Row],[Quantity_sold]]*tblSales[[#This Row],[Unit_Price]]</f>
        <v>1225000</v>
      </c>
      <c r="K91" s="5" t="str">
        <f t="shared" ca="1" si="1"/>
        <v>Transfer</v>
      </c>
      <c r="L91" s="5" t="s">
        <v>646</v>
      </c>
      <c r="M91" s="5" t="s">
        <v>119</v>
      </c>
      <c r="N91" s="10">
        <f>tblSales[[#This Row],[Unit_Price]]*tblSales[[#This Row],[Quantity_sold]]-tblSales[[#This Row],[Cost_price]]*tblSales[[#This Row],[Quantity_sold]]</f>
        <v>325000</v>
      </c>
    </row>
    <row r="92" spans="1:14" x14ac:dyDescent="0.25">
      <c r="A92" s="5" t="s">
        <v>736</v>
      </c>
      <c r="B92" s="5" t="s">
        <v>42</v>
      </c>
      <c r="C92" t="str">
        <f>_xlfn.XLOOKUP(tblSales[[#This Row],[Product_id]],Products!A:A,Products!C:C)</f>
        <v>Safety Equipment</v>
      </c>
      <c r="D92" s="5" t="s">
        <v>297</v>
      </c>
      <c r="E92" s="6" t="s">
        <v>298</v>
      </c>
      <c r="F92" s="7">
        <v>45833</v>
      </c>
      <c r="G92" s="5">
        <v>15</v>
      </c>
      <c r="H92" s="10">
        <f>_xlfn.XLOOKUP(tblSales[[#This Row],[Product_id]],Products!A:A,Products!E:E)</f>
        <v>7000</v>
      </c>
      <c r="I92" s="10">
        <f>_xlfn.XLOOKUP(tblSales[[#This Row],[Product_id]],Products!A:A,Products!F:F)</f>
        <v>12000</v>
      </c>
      <c r="J92" s="10">
        <f>tblSales[[#This Row],[Quantity_sold]]*tblSales[[#This Row],[Unit_Price]]</f>
        <v>180000</v>
      </c>
      <c r="K92" s="5" t="str">
        <f t="shared" ca="1" si="1"/>
        <v>Transfer</v>
      </c>
      <c r="L92" s="5" t="s">
        <v>651</v>
      </c>
      <c r="M92" s="5" t="s">
        <v>879</v>
      </c>
      <c r="N92" s="10">
        <f>tblSales[[#This Row],[Unit_Price]]*tblSales[[#This Row],[Quantity_sold]]-tblSales[[#This Row],[Cost_price]]*tblSales[[#This Row],[Quantity_sold]]</f>
        <v>75000</v>
      </c>
    </row>
    <row r="93" spans="1:14" x14ac:dyDescent="0.25">
      <c r="A93" s="5" t="s">
        <v>737</v>
      </c>
      <c r="B93" s="5" t="s">
        <v>34</v>
      </c>
      <c r="C93" t="str">
        <f>_xlfn.XLOOKUP(tblSales[[#This Row],[Product_id]],Products!A:A,Products!C:C)</f>
        <v>Agricultural Equipment</v>
      </c>
      <c r="D93" s="5" t="s">
        <v>447</v>
      </c>
      <c r="E93" s="6" t="s">
        <v>258</v>
      </c>
      <c r="F93" s="7">
        <v>45809</v>
      </c>
      <c r="G93" s="5">
        <v>15</v>
      </c>
      <c r="H93" s="10">
        <f>_xlfn.XLOOKUP(tblSales[[#This Row],[Product_id]],Products!A:A,Products!E:E)</f>
        <v>54000</v>
      </c>
      <c r="I93" s="10">
        <f>_xlfn.XLOOKUP(tblSales[[#This Row],[Product_id]],Products!A:A,Products!F:F)</f>
        <v>82000</v>
      </c>
      <c r="J93" s="10">
        <f>tblSales[[#This Row],[Quantity_sold]]*tblSales[[#This Row],[Unit_Price]]</f>
        <v>1230000</v>
      </c>
      <c r="K93" s="5" t="str">
        <f t="shared" ca="1" si="1"/>
        <v>Transfer</v>
      </c>
      <c r="L93" s="5" t="s">
        <v>252</v>
      </c>
      <c r="M93" s="5" t="s">
        <v>879</v>
      </c>
      <c r="N93" s="10">
        <f>tblSales[[#This Row],[Unit_Price]]*tblSales[[#This Row],[Quantity_sold]]-tblSales[[#This Row],[Cost_price]]*tblSales[[#This Row],[Quantity_sold]]</f>
        <v>420000</v>
      </c>
    </row>
    <row r="94" spans="1:14" x14ac:dyDescent="0.25">
      <c r="A94" s="5" t="s">
        <v>738</v>
      </c>
      <c r="B94" s="5" t="s">
        <v>42</v>
      </c>
      <c r="C94" t="str">
        <f>_xlfn.XLOOKUP(tblSales[[#This Row],[Product_id]],Products!A:A,Products!C:C)</f>
        <v>Safety Equipment</v>
      </c>
      <c r="D94" s="5" t="s">
        <v>475</v>
      </c>
      <c r="E94" s="6" t="s">
        <v>314</v>
      </c>
      <c r="F94" s="7">
        <v>45832</v>
      </c>
      <c r="G94" s="5">
        <v>13</v>
      </c>
      <c r="H94" s="10">
        <f>_xlfn.XLOOKUP(tblSales[[#This Row],[Product_id]],Products!A:A,Products!E:E)</f>
        <v>7000</v>
      </c>
      <c r="I94" s="10">
        <f>_xlfn.XLOOKUP(tblSales[[#This Row],[Product_id]],Products!A:A,Products!F:F)</f>
        <v>12000</v>
      </c>
      <c r="J94" s="10">
        <f>tblSales[[#This Row],[Quantity_sold]]*tblSales[[#This Row],[Unit_Price]]</f>
        <v>156000</v>
      </c>
      <c r="K94" s="5" t="str">
        <f t="shared" ca="1" si="1"/>
        <v>POS</v>
      </c>
      <c r="L94" s="5" t="s">
        <v>252</v>
      </c>
      <c r="M94" s="5" t="s">
        <v>116</v>
      </c>
      <c r="N94" s="10">
        <f>tblSales[[#This Row],[Unit_Price]]*tblSales[[#This Row],[Quantity_sold]]-tblSales[[#This Row],[Cost_price]]*tblSales[[#This Row],[Quantity_sold]]</f>
        <v>65000</v>
      </c>
    </row>
    <row r="95" spans="1:14" x14ac:dyDescent="0.25">
      <c r="A95" s="5" t="s">
        <v>739</v>
      </c>
      <c r="B95" s="5" t="s">
        <v>102</v>
      </c>
      <c r="C95" t="str">
        <f>_xlfn.XLOOKUP(tblSales[[#This Row],[Product_id]],Products!A:A,Products!C:C)</f>
        <v>Harvesting Equipment</v>
      </c>
      <c r="D95" s="5" t="s">
        <v>407</v>
      </c>
      <c r="E95" s="6" t="s">
        <v>408</v>
      </c>
      <c r="F95" s="7">
        <v>45815</v>
      </c>
      <c r="G95" s="5">
        <v>13</v>
      </c>
      <c r="H95" s="10">
        <f>_xlfn.XLOOKUP(tblSales[[#This Row],[Product_id]],Products!A:A,Products!E:E)</f>
        <v>180000</v>
      </c>
      <c r="I95" s="10">
        <f>_xlfn.XLOOKUP(tblSales[[#This Row],[Product_id]],Products!A:A,Products!F:F)</f>
        <v>250000</v>
      </c>
      <c r="J95" s="10">
        <f>tblSales[[#This Row],[Quantity_sold]]*tblSales[[#This Row],[Unit_Price]]</f>
        <v>3250000</v>
      </c>
      <c r="K95" s="5" t="str">
        <f t="shared" ca="1" si="1"/>
        <v>Transfer</v>
      </c>
      <c r="L95" s="5" t="s">
        <v>252</v>
      </c>
      <c r="M95" s="5" t="s">
        <v>117</v>
      </c>
      <c r="N95" s="10">
        <f>tblSales[[#This Row],[Unit_Price]]*tblSales[[#This Row],[Quantity_sold]]-tblSales[[#This Row],[Cost_price]]*tblSales[[#This Row],[Quantity_sold]]</f>
        <v>910000</v>
      </c>
    </row>
    <row r="96" spans="1:14" x14ac:dyDescent="0.25">
      <c r="A96" s="5" t="s">
        <v>740</v>
      </c>
      <c r="B96" s="5" t="s">
        <v>13</v>
      </c>
      <c r="C96" t="str">
        <f>_xlfn.XLOOKUP(tblSales[[#This Row],[Product_id]],Products!A:A,Products!C:C)</f>
        <v>Agricultural Equipment</v>
      </c>
      <c r="D96" s="5" t="s">
        <v>513</v>
      </c>
      <c r="E96" s="6" t="s">
        <v>390</v>
      </c>
      <c r="F96" s="7">
        <v>45815</v>
      </c>
      <c r="G96" s="5">
        <v>17</v>
      </c>
      <c r="H96" s="10">
        <f>_xlfn.XLOOKUP(tblSales[[#This Row],[Product_id]],Products!A:A,Products!E:E)</f>
        <v>18000</v>
      </c>
      <c r="I96" s="10">
        <f>_xlfn.XLOOKUP(tblSales[[#This Row],[Product_id]],Products!A:A,Products!F:F)</f>
        <v>28000</v>
      </c>
      <c r="J96" s="10">
        <f>tblSales[[#This Row],[Quantity_sold]]*tblSales[[#This Row],[Unit_Price]]</f>
        <v>476000</v>
      </c>
      <c r="K96" s="5" t="str">
        <f t="shared" ca="1" si="1"/>
        <v>Cash</v>
      </c>
      <c r="L96" s="5" t="s">
        <v>651</v>
      </c>
      <c r="M96" s="5" t="s">
        <v>879</v>
      </c>
      <c r="N96" s="10">
        <f>tblSales[[#This Row],[Unit_Price]]*tblSales[[#This Row],[Quantity_sold]]-tblSales[[#This Row],[Cost_price]]*tblSales[[#This Row],[Quantity_sold]]</f>
        <v>170000</v>
      </c>
    </row>
    <row r="97" spans="1:14" x14ac:dyDescent="0.25">
      <c r="A97" s="5" t="s">
        <v>741</v>
      </c>
      <c r="B97" s="5" t="s">
        <v>47</v>
      </c>
      <c r="C97" t="str">
        <f>_xlfn.XLOOKUP(tblSales[[#This Row],[Product_id]],Products!A:A,Products!C:C)</f>
        <v>Agricultural Machine</v>
      </c>
      <c r="D97" s="5" t="s">
        <v>363</v>
      </c>
      <c r="E97" s="6" t="s">
        <v>364</v>
      </c>
      <c r="F97" s="7">
        <v>45816</v>
      </c>
      <c r="G97" s="5">
        <v>11</v>
      </c>
      <c r="H97" s="10">
        <f>_xlfn.XLOOKUP(tblSales[[#This Row],[Product_id]],Products!A:A,Products!E:E)</f>
        <v>155000</v>
      </c>
      <c r="I97" s="10">
        <f>_xlfn.XLOOKUP(tblSales[[#This Row],[Product_id]],Products!A:A,Products!F:F)</f>
        <v>215000</v>
      </c>
      <c r="J97" s="10">
        <f>tblSales[[#This Row],[Quantity_sold]]*tblSales[[#This Row],[Unit_Price]]</f>
        <v>2365000</v>
      </c>
      <c r="K97" s="5" t="str">
        <f t="shared" ca="1" si="1"/>
        <v>Cash</v>
      </c>
      <c r="L97" s="5" t="s">
        <v>648</v>
      </c>
      <c r="M97" s="5" t="s">
        <v>115</v>
      </c>
      <c r="N97" s="10">
        <f>tblSales[[#This Row],[Unit_Price]]*tblSales[[#This Row],[Quantity_sold]]-tblSales[[#This Row],[Cost_price]]*tblSales[[#This Row],[Quantity_sold]]</f>
        <v>660000</v>
      </c>
    </row>
    <row r="98" spans="1:14" x14ac:dyDescent="0.25">
      <c r="A98" s="5" t="s">
        <v>742</v>
      </c>
      <c r="B98" s="5" t="s">
        <v>6</v>
      </c>
      <c r="C98" t="str">
        <f>_xlfn.XLOOKUP(tblSales[[#This Row],[Product_id]],Products!A:A,Products!C:C)</f>
        <v>Agricultural Machine</v>
      </c>
      <c r="D98" s="5" t="s">
        <v>593</v>
      </c>
      <c r="E98" s="6" t="s">
        <v>534</v>
      </c>
      <c r="F98" s="7">
        <v>45820</v>
      </c>
      <c r="G98" s="5">
        <v>2</v>
      </c>
      <c r="H98" s="10">
        <f>_xlfn.XLOOKUP(tblSales[[#This Row],[Product_id]],Products!A:A,Products!E:E)</f>
        <v>95000</v>
      </c>
      <c r="I98" s="10">
        <f>_xlfn.XLOOKUP(tblSales[[#This Row],[Product_id]],Products!A:A,Products!F:F)</f>
        <v>135000</v>
      </c>
      <c r="J98" s="10">
        <f>tblSales[[#This Row],[Quantity_sold]]*tblSales[[#This Row],[Unit_Price]]</f>
        <v>270000</v>
      </c>
      <c r="K98" s="5" t="str">
        <f t="shared" ca="1" si="1"/>
        <v>Transfer</v>
      </c>
      <c r="L98" s="5" t="s">
        <v>270</v>
      </c>
      <c r="M98" s="5" t="s">
        <v>119</v>
      </c>
      <c r="N98" s="10">
        <f>tblSales[[#This Row],[Unit_Price]]*tblSales[[#This Row],[Quantity_sold]]-tblSales[[#This Row],[Cost_price]]*tblSales[[#This Row],[Quantity_sold]]</f>
        <v>80000</v>
      </c>
    </row>
    <row r="99" spans="1:14" x14ac:dyDescent="0.25">
      <c r="A99" s="5" t="s">
        <v>743</v>
      </c>
      <c r="B99" s="5" t="s">
        <v>33</v>
      </c>
      <c r="C99" t="str">
        <f>_xlfn.XLOOKUP(tblSales[[#This Row],[Product_id]],Products!A:A,Products!C:C)</f>
        <v>Agricultural Equipment</v>
      </c>
      <c r="D99" s="5" t="s">
        <v>591</v>
      </c>
      <c r="E99" s="6" t="s">
        <v>532</v>
      </c>
      <c r="F99" s="7">
        <v>45820</v>
      </c>
      <c r="G99" s="5">
        <v>3</v>
      </c>
      <c r="H99" s="10">
        <f>_xlfn.XLOOKUP(tblSales[[#This Row],[Product_id]],Products!A:A,Products!E:E)</f>
        <v>125000</v>
      </c>
      <c r="I99" s="10">
        <f>_xlfn.XLOOKUP(tblSales[[#This Row],[Product_id]],Products!A:A,Products!F:F)</f>
        <v>175000</v>
      </c>
      <c r="J99" s="10">
        <f>tblSales[[#This Row],[Quantity_sold]]*tblSales[[#This Row],[Unit_Price]]</f>
        <v>525000</v>
      </c>
      <c r="K99" s="5" t="str">
        <f t="shared" ca="1" si="1"/>
        <v>POS</v>
      </c>
      <c r="L99" s="5" t="s">
        <v>646</v>
      </c>
      <c r="M99" s="5" t="s">
        <v>119</v>
      </c>
      <c r="N99" s="10">
        <f>tblSales[[#This Row],[Unit_Price]]*tblSales[[#This Row],[Quantity_sold]]-tblSales[[#This Row],[Cost_price]]*tblSales[[#This Row],[Quantity_sold]]</f>
        <v>150000</v>
      </c>
    </row>
    <row r="100" spans="1:14" x14ac:dyDescent="0.25">
      <c r="A100" s="5" t="s">
        <v>744</v>
      </c>
      <c r="B100" s="5" t="s">
        <v>37</v>
      </c>
      <c r="C100" t="str">
        <f>_xlfn.XLOOKUP(tblSales[[#This Row],[Product_id]],Products!A:A,Products!C:C)</f>
        <v>Industrial Equipment</v>
      </c>
      <c r="D100" s="5" t="s">
        <v>369</v>
      </c>
      <c r="E100" s="6" t="s">
        <v>370</v>
      </c>
      <c r="F100" s="7">
        <v>45819</v>
      </c>
      <c r="G100" s="5">
        <v>1</v>
      </c>
      <c r="H100" s="10">
        <f>_xlfn.XLOOKUP(tblSales[[#This Row],[Product_id]],Products!A:A,Products!E:E)</f>
        <v>185000</v>
      </c>
      <c r="I100" s="10">
        <f>_xlfn.XLOOKUP(tblSales[[#This Row],[Product_id]],Products!A:A,Products!F:F)</f>
        <v>255000</v>
      </c>
      <c r="J100" s="10">
        <f>tblSales[[#This Row],[Quantity_sold]]*tblSales[[#This Row],[Unit_Price]]</f>
        <v>255000</v>
      </c>
      <c r="K100" s="5" t="str">
        <f t="shared" ca="1" si="1"/>
        <v>Transfer</v>
      </c>
      <c r="L100" s="5" t="s">
        <v>648</v>
      </c>
      <c r="M100" s="5" t="s">
        <v>116</v>
      </c>
      <c r="N100" s="10">
        <f>tblSales[[#This Row],[Unit_Price]]*tblSales[[#This Row],[Quantity_sold]]-tblSales[[#This Row],[Cost_price]]*tblSales[[#This Row],[Quantity_sold]]</f>
        <v>70000</v>
      </c>
    </row>
    <row r="101" spans="1:14" x14ac:dyDescent="0.25">
      <c r="A101" s="5" t="s">
        <v>745</v>
      </c>
      <c r="B101" s="5" t="s">
        <v>104</v>
      </c>
      <c r="C101" t="str">
        <f>_xlfn.XLOOKUP(tblSales[[#This Row],[Product_id]],Products!A:A,Products!C:C)</f>
        <v>Processing Equipment</v>
      </c>
      <c r="D101" s="5" t="s">
        <v>259</v>
      </c>
      <c r="E101" s="6" t="s">
        <v>260</v>
      </c>
      <c r="F101" s="7">
        <v>45827</v>
      </c>
      <c r="G101" s="5">
        <v>13</v>
      </c>
      <c r="H101" s="10">
        <f>_xlfn.XLOOKUP(tblSales[[#This Row],[Product_id]],Products!A:A,Products!E:E)</f>
        <v>95000</v>
      </c>
      <c r="I101" s="10">
        <f>_xlfn.XLOOKUP(tblSales[[#This Row],[Product_id]],Products!A:A,Products!F:F)</f>
        <v>145000</v>
      </c>
      <c r="J101" s="10">
        <f>tblSales[[#This Row],[Quantity_sold]]*tblSales[[#This Row],[Unit_Price]]</f>
        <v>1885000</v>
      </c>
      <c r="K101" s="5" t="str">
        <f t="shared" ca="1" si="1"/>
        <v>Transfer</v>
      </c>
      <c r="L101" s="5" t="s">
        <v>651</v>
      </c>
      <c r="M101" s="5" t="s">
        <v>116</v>
      </c>
      <c r="N101" s="10">
        <f>tblSales[[#This Row],[Unit_Price]]*tblSales[[#This Row],[Quantity_sold]]-tblSales[[#This Row],[Cost_price]]*tblSales[[#This Row],[Quantity_sold]]</f>
        <v>650000</v>
      </c>
    </row>
    <row r="102" spans="1:14" x14ac:dyDescent="0.25">
      <c r="A102" s="5" t="s">
        <v>746</v>
      </c>
      <c r="B102" s="5" t="s">
        <v>37</v>
      </c>
      <c r="C102" t="str">
        <f>_xlfn.XLOOKUP(tblSales[[#This Row],[Product_id]],Products!A:A,Products!C:C)</f>
        <v>Industrial Equipment</v>
      </c>
      <c r="D102" s="5" t="s">
        <v>484</v>
      </c>
      <c r="E102" s="6" t="s">
        <v>332</v>
      </c>
      <c r="F102" s="7">
        <v>45834</v>
      </c>
      <c r="G102" s="5">
        <v>1</v>
      </c>
      <c r="H102" s="10">
        <f>_xlfn.XLOOKUP(tblSales[[#This Row],[Product_id]],Products!A:A,Products!E:E)</f>
        <v>185000</v>
      </c>
      <c r="I102" s="10">
        <f>_xlfn.XLOOKUP(tblSales[[#This Row],[Product_id]],Products!A:A,Products!F:F)</f>
        <v>255000</v>
      </c>
      <c r="J102" s="10">
        <f>tblSales[[#This Row],[Quantity_sold]]*tblSales[[#This Row],[Unit_Price]]</f>
        <v>255000</v>
      </c>
      <c r="K102" s="5" t="str">
        <f t="shared" ca="1" si="1"/>
        <v>Cash</v>
      </c>
      <c r="L102" s="5" t="s">
        <v>648</v>
      </c>
      <c r="M102" s="5" t="s">
        <v>114</v>
      </c>
      <c r="N102" s="10">
        <f>tblSales[[#This Row],[Unit_Price]]*tblSales[[#This Row],[Quantity_sold]]-tblSales[[#This Row],[Cost_price]]*tblSales[[#This Row],[Quantity_sold]]</f>
        <v>70000</v>
      </c>
    </row>
    <row r="103" spans="1:14" x14ac:dyDescent="0.25">
      <c r="A103" s="5" t="s">
        <v>747</v>
      </c>
      <c r="B103" s="5" t="s">
        <v>96</v>
      </c>
      <c r="C103" t="str">
        <f>_xlfn.XLOOKUP(tblSales[[#This Row],[Product_id]],Products!A:A,Products!C:C)</f>
        <v>Industrial Equipment</v>
      </c>
      <c r="D103" s="5" t="s">
        <v>612</v>
      </c>
      <c r="E103" s="6" t="s">
        <v>553</v>
      </c>
      <c r="F103" s="7">
        <v>45812</v>
      </c>
      <c r="G103" s="5">
        <v>15</v>
      </c>
      <c r="H103" s="10">
        <f>_xlfn.XLOOKUP(tblSales[[#This Row],[Product_id]],Products!A:A,Products!E:E)</f>
        <v>320000</v>
      </c>
      <c r="I103" s="10">
        <f>_xlfn.XLOOKUP(tblSales[[#This Row],[Product_id]],Products!A:A,Products!F:F)</f>
        <v>450000</v>
      </c>
      <c r="J103" s="10">
        <f>tblSales[[#This Row],[Quantity_sold]]*tblSales[[#This Row],[Unit_Price]]</f>
        <v>6750000</v>
      </c>
      <c r="K103" s="5" t="str">
        <f t="shared" ca="1" si="1"/>
        <v>Cash</v>
      </c>
      <c r="L103" s="5" t="s">
        <v>270</v>
      </c>
      <c r="M103" s="5" t="s">
        <v>114</v>
      </c>
      <c r="N103" s="10">
        <f>tblSales[[#This Row],[Unit_Price]]*tblSales[[#This Row],[Quantity_sold]]-tblSales[[#This Row],[Cost_price]]*tblSales[[#This Row],[Quantity_sold]]</f>
        <v>1950000</v>
      </c>
    </row>
    <row r="104" spans="1:14" x14ac:dyDescent="0.25">
      <c r="A104" s="5" t="s">
        <v>748</v>
      </c>
      <c r="B104" s="5" t="s">
        <v>47</v>
      </c>
      <c r="C104" t="str">
        <f>_xlfn.XLOOKUP(tblSales[[#This Row],[Product_id]],Products!A:A,Products!C:C)</f>
        <v>Agricultural Machine</v>
      </c>
      <c r="D104" s="5" t="s">
        <v>498</v>
      </c>
      <c r="E104" s="6" t="s">
        <v>360</v>
      </c>
      <c r="F104" s="7">
        <v>45864</v>
      </c>
      <c r="G104" s="5">
        <v>15</v>
      </c>
      <c r="H104" s="10">
        <f>_xlfn.XLOOKUP(tblSales[[#This Row],[Product_id]],Products!A:A,Products!E:E)</f>
        <v>155000</v>
      </c>
      <c r="I104" s="10">
        <f>_xlfn.XLOOKUP(tblSales[[#This Row],[Product_id]],Products!A:A,Products!F:F)</f>
        <v>215000</v>
      </c>
      <c r="J104" s="10">
        <f>tblSales[[#This Row],[Quantity_sold]]*tblSales[[#This Row],[Unit_Price]]</f>
        <v>3225000</v>
      </c>
      <c r="K104" s="5" t="str">
        <f t="shared" ca="1" si="1"/>
        <v>POS</v>
      </c>
      <c r="L104" s="5" t="s">
        <v>252</v>
      </c>
      <c r="M104" s="5" t="s">
        <v>116</v>
      </c>
      <c r="N104" s="10">
        <f>tblSales[[#This Row],[Unit_Price]]*tblSales[[#This Row],[Quantity_sold]]-tblSales[[#This Row],[Cost_price]]*tblSales[[#This Row],[Quantity_sold]]</f>
        <v>900000</v>
      </c>
    </row>
    <row r="105" spans="1:14" x14ac:dyDescent="0.25">
      <c r="A105" s="5" t="s">
        <v>749</v>
      </c>
      <c r="B105" s="5" t="s">
        <v>93</v>
      </c>
      <c r="C105" t="str">
        <f>_xlfn.XLOOKUP(tblSales[[#This Row],[Product_id]],Products!A:A,Products!C:C)</f>
        <v>Agricultural Machine</v>
      </c>
      <c r="D105" s="5" t="s">
        <v>283</v>
      </c>
      <c r="E105" s="6" t="s">
        <v>284</v>
      </c>
      <c r="F105" s="7">
        <v>45854</v>
      </c>
      <c r="G105" s="5">
        <v>12</v>
      </c>
      <c r="H105" s="10">
        <f>_xlfn.XLOOKUP(tblSales[[#This Row],[Product_id]],Products!A:A,Products!E:E)</f>
        <v>98000</v>
      </c>
      <c r="I105" s="10">
        <f>_xlfn.XLOOKUP(tblSales[[#This Row],[Product_id]],Products!A:A,Products!F:F)</f>
        <v>145000</v>
      </c>
      <c r="J105" s="10">
        <f>tblSales[[#This Row],[Quantity_sold]]*tblSales[[#This Row],[Unit_Price]]</f>
        <v>1740000</v>
      </c>
      <c r="K105" s="5" t="str">
        <f t="shared" ca="1" si="1"/>
        <v>Cash</v>
      </c>
      <c r="L105" s="5" t="s">
        <v>270</v>
      </c>
      <c r="M105" s="5" t="s">
        <v>116</v>
      </c>
      <c r="N105" s="10">
        <f>tblSales[[#This Row],[Unit_Price]]*tblSales[[#This Row],[Quantity_sold]]-tblSales[[#This Row],[Cost_price]]*tblSales[[#This Row],[Quantity_sold]]</f>
        <v>564000</v>
      </c>
    </row>
    <row r="106" spans="1:14" x14ac:dyDescent="0.25">
      <c r="A106" s="5" t="s">
        <v>750</v>
      </c>
      <c r="B106" s="5" t="s">
        <v>78</v>
      </c>
      <c r="C106" t="str">
        <f>_xlfn.XLOOKUP(tblSales[[#This Row],[Product_id]],Products!A:A,Products!C:C)</f>
        <v>Agricultural Equipment</v>
      </c>
      <c r="D106" s="5" t="s">
        <v>500</v>
      </c>
      <c r="E106" s="6" t="s">
        <v>364</v>
      </c>
      <c r="F106" s="7">
        <v>45864</v>
      </c>
      <c r="G106" s="5">
        <v>4</v>
      </c>
      <c r="H106" s="10">
        <f>_xlfn.XLOOKUP(tblSales[[#This Row],[Product_id]],Products!A:A,Products!E:E)</f>
        <v>56000</v>
      </c>
      <c r="I106" s="10">
        <f>_xlfn.XLOOKUP(tblSales[[#This Row],[Product_id]],Products!A:A,Products!F:F)</f>
        <v>85000</v>
      </c>
      <c r="J106" s="10">
        <f>tblSales[[#This Row],[Quantity_sold]]*tblSales[[#This Row],[Unit_Price]]</f>
        <v>340000</v>
      </c>
      <c r="K106" s="5" t="str">
        <f t="shared" ca="1" si="1"/>
        <v>POS</v>
      </c>
      <c r="L106" s="5" t="s">
        <v>646</v>
      </c>
      <c r="M106" s="5" t="s">
        <v>117</v>
      </c>
      <c r="N106" s="10">
        <f>tblSales[[#This Row],[Unit_Price]]*tblSales[[#This Row],[Quantity_sold]]-tblSales[[#This Row],[Cost_price]]*tblSales[[#This Row],[Quantity_sold]]</f>
        <v>116000</v>
      </c>
    </row>
    <row r="107" spans="1:14" x14ac:dyDescent="0.25">
      <c r="A107" s="5" t="s">
        <v>751</v>
      </c>
      <c r="B107" s="5" t="s">
        <v>50</v>
      </c>
      <c r="C107" t="str">
        <f>_xlfn.XLOOKUP(tblSales[[#This Row],[Product_id]],Products!A:A,Products!C:C)</f>
        <v>Storage Equipment</v>
      </c>
      <c r="D107" s="5" t="s">
        <v>283</v>
      </c>
      <c r="E107" s="6" t="s">
        <v>284</v>
      </c>
      <c r="F107" s="7">
        <v>45854</v>
      </c>
      <c r="G107" s="5">
        <v>19</v>
      </c>
      <c r="H107" s="10">
        <f>_xlfn.XLOOKUP(tblSales[[#This Row],[Product_id]],Products!A:A,Products!E:E)</f>
        <v>38000</v>
      </c>
      <c r="I107" s="10">
        <f>_xlfn.XLOOKUP(tblSales[[#This Row],[Product_id]],Products!A:A,Products!F:F)</f>
        <v>58000</v>
      </c>
      <c r="J107" s="10">
        <f>tblSales[[#This Row],[Quantity_sold]]*tblSales[[#This Row],[Unit_Price]]</f>
        <v>1102000</v>
      </c>
      <c r="K107" s="5" t="str">
        <f t="shared" ca="1" si="1"/>
        <v>Transfer</v>
      </c>
      <c r="L107" s="5" t="s">
        <v>651</v>
      </c>
      <c r="M107" s="5" t="s">
        <v>116</v>
      </c>
      <c r="N107" s="10">
        <f>tblSales[[#This Row],[Unit_Price]]*tblSales[[#This Row],[Quantity_sold]]-tblSales[[#This Row],[Cost_price]]*tblSales[[#This Row],[Quantity_sold]]</f>
        <v>380000</v>
      </c>
    </row>
    <row r="108" spans="1:14" x14ac:dyDescent="0.25">
      <c r="A108" s="5" t="s">
        <v>752</v>
      </c>
      <c r="B108" s="5" t="s">
        <v>84</v>
      </c>
      <c r="C108" t="str">
        <f>_xlfn.XLOOKUP(tblSales[[#This Row],[Product_id]],Products!A:A,Products!C:C)</f>
        <v>Industrial Equipment</v>
      </c>
      <c r="D108" s="5" t="s">
        <v>409</v>
      </c>
      <c r="E108" s="6" t="s">
        <v>410</v>
      </c>
      <c r="F108" s="7">
        <v>45861</v>
      </c>
      <c r="G108" s="5">
        <v>17</v>
      </c>
      <c r="H108" s="10">
        <f>_xlfn.XLOOKUP(tblSales[[#This Row],[Product_id]],Products!A:A,Products!E:E)</f>
        <v>65000</v>
      </c>
      <c r="I108" s="10">
        <f>_xlfn.XLOOKUP(tblSales[[#This Row],[Product_id]],Products!A:A,Products!F:F)</f>
        <v>85000</v>
      </c>
      <c r="J108" s="10">
        <f>tblSales[[#This Row],[Quantity_sold]]*tblSales[[#This Row],[Unit_Price]]</f>
        <v>1445000</v>
      </c>
      <c r="K108" s="5" t="str">
        <f t="shared" ca="1" si="1"/>
        <v>POS</v>
      </c>
      <c r="L108" s="5" t="s">
        <v>256</v>
      </c>
      <c r="M108" s="5" t="s">
        <v>879</v>
      </c>
      <c r="N108" s="10">
        <f>tblSales[[#This Row],[Unit_Price]]*tblSales[[#This Row],[Quantity_sold]]-tblSales[[#This Row],[Cost_price]]*tblSales[[#This Row],[Quantity_sold]]</f>
        <v>340000</v>
      </c>
    </row>
    <row r="109" spans="1:14" x14ac:dyDescent="0.25">
      <c r="A109" s="5" t="s">
        <v>753</v>
      </c>
      <c r="B109" s="5" t="s">
        <v>18</v>
      </c>
      <c r="C109" t="str">
        <f>_xlfn.XLOOKUP(tblSales[[#This Row],[Product_id]],Products!A:A,Products!C:C)</f>
        <v>Agricultural Equipment</v>
      </c>
      <c r="D109" s="5" t="s">
        <v>634</v>
      </c>
      <c r="E109" s="6" t="s">
        <v>574</v>
      </c>
      <c r="F109" s="7">
        <v>45853</v>
      </c>
      <c r="G109" s="5">
        <v>9</v>
      </c>
      <c r="H109" s="10">
        <f>_xlfn.XLOOKUP(tblSales[[#This Row],[Product_id]],Products!A:A,Products!E:E)</f>
        <v>42000</v>
      </c>
      <c r="I109" s="10">
        <f>_xlfn.XLOOKUP(tblSales[[#This Row],[Product_id]],Products!A:A,Products!F:F)</f>
        <v>65000</v>
      </c>
      <c r="J109" s="10">
        <f>tblSales[[#This Row],[Quantity_sold]]*tblSales[[#This Row],[Unit_Price]]</f>
        <v>585000</v>
      </c>
      <c r="K109" s="5" t="str">
        <f t="shared" ca="1" si="1"/>
        <v>Transfer</v>
      </c>
      <c r="L109" s="5" t="s">
        <v>270</v>
      </c>
      <c r="M109" s="5" t="s">
        <v>117</v>
      </c>
      <c r="N109" s="10">
        <f>tblSales[[#This Row],[Unit_Price]]*tblSales[[#This Row],[Quantity_sold]]-tblSales[[#This Row],[Cost_price]]*tblSales[[#This Row],[Quantity_sold]]</f>
        <v>207000</v>
      </c>
    </row>
    <row r="110" spans="1:14" x14ac:dyDescent="0.25">
      <c r="A110" s="5" t="s">
        <v>754</v>
      </c>
      <c r="B110" s="5" t="s">
        <v>27</v>
      </c>
      <c r="C110" t="str">
        <f>_xlfn.XLOOKUP(tblSales[[#This Row],[Product_id]],Products!A:A,Products!C:C)</f>
        <v>Agricultural Equipment</v>
      </c>
      <c r="D110" s="5" t="s">
        <v>491</v>
      </c>
      <c r="E110" s="6" t="s">
        <v>346</v>
      </c>
      <c r="F110" s="7">
        <v>45854</v>
      </c>
      <c r="G110" s="5">
        <v>4</v>
      </c>
      <c r="H110" s="10">
        <f>_xlfn.XLOOKUP(tblSales[[#This Row],[Product_id]],Products!A:A,Products!E:E)</f>
        <v>28000</v>
      </c>
      <c r="I110" s="10">
        <f>_xlfn.XLOOKUP(tblSales[[#This Row],[Product_id]],Products!A:A,Products!F:F)</f>
        <v>42000</v>
      </c>
      <c r="J110" s="10">
        <f>tblSales[[#This Row],[Quantity_sold]]*tblSales[[#This Row],[Unit_Price]]</f>
        <v>168000</v>
      </c>
      <c r="K110" s="5" t="str">
        <f t="shared" ca="1" si="1"/>
        <v>Cash</v>
      </c>
      <c r="L110" s="5" t="s">
        <v>646</v>
      </c>
      <c r="M110" s="5" t="s">
        <v>115</v>
      </c>
      <c r="N110" s="10">
        <f>tblSales[[#This Row],[Unit_Price]]*tblSales[[#This Row],[Quantity_sold]]-tblSales[[#This Row],[Cost_price]]*tblSales[[#This Row],[Quantity_sold]]</f>
        <v>56000</v>
      </c>
    </row>
    <row r="111" spans="1:14" x14ac:dyDescent="0.25">
      <c r="A111" s="5" t="s">
        <v>755</v>
      </c>
      <c r="B111" s="5" t="s">
        <v>106</v>
      </c>
      <c r="C111" t="str">
        <f>_xlfn.XLOOKUP(tblSales[[#This Row],[Product_id]],Products!A:A,Products!C:C)</f>
        <v>Agricultural Equipment</v>
      </c>
      <c r="D111" s="5" t="s">
        <v>377</v>
      </c>
      <c r="E111" s="6" t="s">
        <v>378</v>
      </c>
      <c r="F111" s="7">
        <v>45859</v>
      </c>
      <c r="G111" s="5">
        <v>12</v>
      </c>
      <c r="H111" s="10">
        <f>_xlfn.XLOOKUP(tblSales[[#This Row],[Product_id]],Products!A:A,Products!E:E)</f>
        <v>120000</v>
      </c>
      <c r="I111" s="10">
        <f>_xlfn.XLOOKUP(tblSales[[#This Row],[Product_id]],Products!A:A,Products!F:F)</f>
        <v>180000</v>
      </c>
      <c r="J111" s="10">
        <f>tblSales[[#This Row],[Quantity_sold]]*tblSales[[#This Row],[Unit_Price]]</f>
        <v>2160000</v>
      </c>
      <c r="K111" s="5" t="str">
        <f t="shared" ca="1" si="1"/>
        <v>Cash</v>
      </c>
      <c r="L111" s="5" t="s">
        <v>256</v>
      </c>
      <c r="M111" s="5" t="s">
        <v>115</v>
      </c>
      <c r="N111" s="10">
        <f>tblSales[[#This Row],[Unit_Price]]*tblSales[[#This Row],[Quantity_sold]]-tblSales[[#This Row],[Cost_price]]*tblSales[[#This Row],[Quantity_sold]]</f>
        <v>720000</v>
      </c>
    </row>
    <row r="112" spans="1:14" x14ac:dyDescent="0.25">
      <c r="A112" s="5" t="s">
        <v>756</v>
      </c>
      <c r="B112" s="5" t="s">
        <v>81</v>
      </c>
      <c r="C112" t="str">
        <f>_xlfn.XLOOKUP(tblSales[[#This Row],[Product_id]],Products!A:A,Products!C:C)</f>
        <v>Processing Equipment</v>
      </c>
      <c r="D112" s="5" t="s">
        <v>373</v>
      </c>
      <c r="E112" s="6" t="s">
        <v>374</v>
      </c>
      <c r="F112" s="7">
        <v>45855</v>
      </c>
      <c r="G112" s="5">
        <v>11</v>
      </c>
      <c r="H112" s="10">
        <f>_xlfn.XLOOKUP(tblSales[[#This Row],[Product_id]],Products!A:A,Products!E:E)</f>
        <v>125000</v>
      </c>
      <c r="I112" s="10">
        <f>_xlfn.XLOOKUP(tblSales[[#This Row],[Product_id]],Products!A:A,Products!F:F)</f>
        <v>185000</v>
      </c>
      <c r="J112" s="10">
        <f>tblSales[[#This Row],[Quantity_sold]]*tblSales[[#This Row],[Unit_Price]]</f>
        <v>2035000</v>
      </c>
      <c r="K112" s="5" t="str">
        <f t="shared" ca="1" si="1"/>
        <v>Transfer</v>
      </c>
      <c r="L112" s="5" t="s">
        <v>646</v>
      </c>
      <c r="M112" s="5" t="s">
        <v>114</v>
      </c>
      <c r="N112" s="10">
        <f>tblSales[[#This Row],[Unit_Price]]*tblSales[[#This Row],[Quantity_sold]]-tblSales[[#This Row],[Cost_price]]*tblSales[[#This Row],[Quantity_sold]]</f>
        <v>660000</v>
      </c>
    </row>
    <row r="113" spans="1:14" x14ac:dyDescent="0.25">
      <c r="A113" s="5" t="s">
        <v>757</v>
      </c>
      <c r="B113" s="5" t="s">
        <v>105</v>
      </c>
      <c r="C113" t="str">
        <f>_xlfn.XLOOKUP(tblSales[[#This Row],[Product_id]],Products!A:A,Products!C:C)</f>
        <v>Agricultural Equipment</v>
      </c>
      <c r="D113" s="5" t="s">
        <v>301</v>
      </c>
      <c r="E113" s="6" t="s">
        <v>302</v>
      </c>
      <c r="F113" s="7">
        <v>45862</v>
      </c>
      <c r="G113" s="5">
        <v>6</v>
      </c>
      <c r="H113" s="10">
        <f>_xlfn.XLOOKUP(tblSales[[#This Row],[Product_id]],Products!A:A,Products!E:E)</f>
        <v>45000</v>
      </c>
      <c r="I113" s="10">
        <f>_xlfn.XLOOKUP(tblSales[[#This Row],[Product_id]],Products!A:A,Products!F:F)</f>
        <v>70000</v>
      </c>
      <c r="J113" s="10">
        <f>tblSales[[#This Row],[Quantity_sold]]*tblSales[[#This Row],[Unit_Price]]</f>
        <v>420000</v>
      </c>
      <c r="K113" s="5" t="str">
        <f t="shared" ca="1" si="1"/>
        <v>POS</v>
      </c>
      <c r="L113" s="5" t="s">
        <v>256</v>
      </c>
      <c r="M113" s="5" t="s">
        <v>114</v>
      </c>
      <c r="N113" s="10">
        <f>tblSales[[#This Row],[Unit_Price]]*tblSales[[#This Row],[Quantity_sold]]-tblSales[[#This Row],[Cost_price]]*tblSales[[#This Row],[Quantity_sold]]</f>
        <v>150000</v>
      </c>
    </row>
    <row r="114" spans="1:14" x14ac:dyDescent="0.25">
      <c r="A114" s="5" t="s">
        <v>758</v>
      </c>
      <c r="B114" s="5" t="s">
        <v>18</v>
      </c>
      <c r="C114" t="str">
        <f>_xlfn.XLOOKUP(tblSales[[#This Row],[Product_id]],Products!A:A,Products!C:C)</f>
        <v>Agricultural Equipment</v>
      </c>
      <c r="D114" s="5" t="s">
        <v>305</v>
      </c>
      <c r="E114" s="6" t="s">
        <v>306</v>
      </c>
      <c r="F114" s="7">
        <v>45848</v>
      </c>
      <c r="G114" s="5">
        <v>19</v>
      </c>
      <c r="H114" s="10">
        <f>_xlfn.XLOOKUP(tblSales[[#This Row],[Product_id]],Products!A:A,Products!E:E)</f>
        <v>42000</v>
      </c>
      <c r="I114" s="10">
        <f>_xlfn.XLOOKUP(tblSales[[#This Row],[Product_id]],Products!A:A,Products!F:F)</f>
        <v>65000</v>
      </c>
      <c r="J114" s="10">
        <f>tblSales[[#This Row],[Quantity_sold]]*tblSales[[#This Row],[Unit_Price]]</f>
        <v>1235000</v>
      </c>
      <c r="K114" s="5" t="str">
        <f t="shared" ref="K114:K145" ca="1" si="2">CHOOSE(RANDBETWEEN(1,3), "Cash", "Transfer", "POS")</f>
        <v>Cash</v>
      </c>
      <c r="L114" s="5" t="s">
        <v>252</v>
      </c>
      <c r="M114" s="5" t="s">
        <v>119</v>
      </c>
      <c r="N114" s="10">
        <f>tblSales[[#This Row],[Unit_Price]]*tblSales[[#This Row],[Quantity_sold]]-tblSales[[#This Row],[Cost_price]]*tblSales[[#This Row],[Quantity_sold]]</f>
        <v>437000</v>
      </c>
    </row>
    <row r="115" spans="1:14" x14ac:dyDescent="0.25">
      <c r="A115" s="5" t="s">
        <v>759</v>
      </c>
      <c r="B115" s="5" t="s">
        <v>23</v>
      </c>
      <c r="C115" t="str">
        <f>_xlfn.XLOOKUP(tblSales[[#This Row],[Product_id]],Products!A:A,Products!C:C)</f>
        <v>Agricultural Machine</v>
      </c>
      <c r="D115" s="5" t="s">
        <v>497</v>
      </c>
      <c r="E115" s="6" t="s">
        <v>358</v>
      </c>
      <c r="F115" s="7">
        <v>45855</v>
      </c>
      <c r="G115" s="5">
        <v>1</v>
      </c>
      <c r="H115" s="10">
        <f>_xlfn.XLOOKUP(tblSales[[#This Row],[Product_id]],Products!A:A,Products!E:E)</f>
        <v>680000</v>
      </c>
      <c r="I115" s="10">
        <f>_xlfn.XLOOKUP(tblSales[[#This Row],[Product_id]],Products!A:A,Products!F:F)</f>
        <v>890000</v>
      </c>
      <c r="J115" s="10">
        <f>tblSales[[#This Row],[Quantity_sold]]*tblSales[[#This Row],[Unit_Price]]</f>
        <v>890000</v>
      </c>
      <c r="K115" s="5" t="str">
        <f t="shared" ca="1" si="2"/>
        <v>Transfer</v>
      </c>
      <c r="L115" s="5" t="s">
        <v>648</v>
      </c>
      <c r="M115" s="5" t="s">
        <v>879</v>
      </c>
      <c r="N115" s="10">
        <f>tblSales[[#This Row],[Unit_Price]]*tblSales[[#This Row],[Quantity_sold]]-tblSales[[#This Row],[Cost_price]]*tblSales[[#This Row],[Quantity_sold]]</f>
        <v>210000</v>
      </c>
    </row>
    <row r="116" spans="1:14" x14ac:dyDescent="0.25">
      <c r="A116" s="5" t="s">
        <v>760</v>
      </c>
      <c r="B116" s="5" t="s">
        <v>61</v>
      </c>
      <c r="C116" t="str">
        <f>_xlfn.XLOOKUP(tblSales[[#This Row],[Product_id]],Products!A:A,Products!C:C)</f>
        <v>Processing Equipment</v>
      </c>
      <c r="D116" s="5" t="s">
        <v>455</v>
      </c>
      <c r="E116" s="6" t="s">
        <v>274</v>
      </c>
      <c r="F116" s="7">
        <v>45840</v>
      </c>
      <c r="G116" s="5">
        <v>8</v>
      </c>
      <c r="H116" s="10">
        <f>_xlfn.XLOOKUP(tblSales[[#This Row],[Product_id]],Products!A:A,Products!E:E)</f>
        <v>295000</v>
      </c>
      <c r="I116" s="10">
        <f>_xlfn.XLOOKUP(tblSales[[#This Row],[Product_id]],Products!A:A,Products!F:F)</f>
        <v>410000</v>
      </c>
      <c r="J116" s="10">
        <f>tblSales[[#This Row],[Quantity_sold]]*tblSales[[#This Row],[Unit_Price]]</f>
        <v>3280000</v>
      </c>
      <c r="K116" s="5" t="str">
        <f t="shared" ca="1" si="2"/>
        <v>Transfer</v>
      </c>
      <c r="L116" s="5" t="s">
        <v>270</v>
      </c>
      <c r="M116" s="5" t="s">
        <v>115</v>
      </c>
      <c r="N116" s="10">
        <f>tblSales[[#This Row],[Unit_Price]]*tblSales[[#This Row],[Quantity_sold]]-tblSales[[#This Row],[Cost_price]]*tblSales[[#This Row],[Quantity_sold]]</f>
        <v>920000</v>
      </c>
    </row>
    <row r="117" spans="1:14" x14ac:dyDescent="0.25">
      <c r="A117" s="5" t="s">
        <v>761</v>
      </c>
      <c r="B117" s="5" t="s">
        <v>108</v>
      </c>
      <c r="C117" t="str">
        <f>_xlfn.XLOOKUP(tblSales[[#This Row],[Product_id]],Products!A:A,Products!C:C)</f>
        <v>Industrial Equipment</v>
      </c>
      <c r="D117" s="5" t="s">
        <v>526</v>
      </c>
      <c r="E117" s="6" t="s">
        <v>416</v>
      </c>
      <c r="F117" s="7">
        <v>45844</v>
      </c>
      <c r="G117" s="5">
        <v>3</v>
      </c>
      <c r="H117" s="10">
        <f>_xlfn.XLOOKUP(tblSales[[#This Row],[Product_id]],Products!A:A,Products!E:E)</f>
        <v>18000</v>
      </c>
      <c r="I117" s="10">
        <f>_xlfn.XLOOKUP(tblSales[[#This Row],[Product_id]],Products!A:A,Products!F:F)</f>
        <v>27000</v>
      </c>
      <c r="J117" s="10">
        <f>tblSales[[#This Row],[Quantity_sold]]*tblSales[[#This Row],[Unit_Price]]</f>
        <v>81000</v>
      </c>
      <c r="K117" s="5" t="str">
        <f t="shared" ca="1" si="2"/>
        <v>Cash</v>
      </c>
      <c r="L117" s="5" t="s">
        <v>270</v>
      </c>
      <c r="M117" s="5" t="s">
        <v>879</v>
      </c>
      <c r="N117" s="10">
        <f>tblSales[[#This Row],[Unit_Price]]*tblSales[[#This Row],[Quantity_sold]]-tblSales[[#This Row],[Cost_price]]*tblSales[[#This Row],[Quantity_sold]]</f>
        <v>27000</v>
      </c>
    </row>
    <row r="118" spans="1:14" x14ac:dyDescent="0.25">
      <c r="A118" s="5" t="s">
        <v>762</v>
      </c>
      <c r="B118" s="5" t="s">
        <v>34</v>
      </c>
      <c r="C118" t="str">
        <f>_xlfn.XLOOKUP(tblSales[[#This Row],[Product_id]],Products!A:A,Products!C:C)</f>
        <v>Agricultural Equipment</v>
      </c>
      <c r="D118" s="5" t="s">
        <v>385</v>
      </c>
      <c r="E118" s="6" t="s">
        <v>386</v>
      </c>
      <c r="F118" s="7">
        <v>45845</v>
      </c>
      <c r="G118" s="5">
        <v>1</v>
      </c>
      <c r="H118" s="10">
        <f>_xlfn.XLOOKUP(tblSales[[#This Row],[Product_id]],Products!A:A,Products!E:E)</f>
        <v>54000</v>
      </c>
      <c r="I118" s="10">
        <f>_xlfn.XLOOKUP(tblSales[[#This Row],[Product_id]],Products!A:A,Products!F:F)</f>
        <v>82000</v>
      </c>
      <c r="J118" s="10">
        <f>tblSales[[#This Row],[Quantity_sold]]*tblSales[[#This Row],[Unit_Price]]</f>
        <v>82000</v>
      </c>
      <c r="K118" s="5" t="str">
        <f t="shared" ca="1" si="2"/>
        <v>Cash</v>
      </c>
      <c r="L118" s="5" t="s">
        <v>256</v>
      </c>
      <c r="M118" s="5" t="s">
        <v>119</v>
      </c>
      <c r="N118" s="10">
        <f>tblSales[[#This Row],[Unit_Price]]*tblSales[[#This Row],[Quantity_sold]]-tblSales[[#This Row],[Cost_price]]*tblSales[[#This Row],[Quantity_sold]]</f>
        <v>28000</v>
      </c>
    </row>
    <row r="119" spans="1:14" x14ac:dyDescent="0.25">
      <c r="A119" s="5" t="s">
        <v>763</v>
      </c>
      <c r="B119" s="5" t="s">
        <v>86</v>
      </c>
      <c r="C119" t="str">
        <f>_xlfn.XLOOKUP(tblSales[[#This Row],[Product_id]],Products!A:A,Products!C:C)</f>
        <v>Power Equipment</v>
      </c>
      <c r="D119" s="5" t="s">
        <v>452</v>
      </c>
      <c r="E119" s="6" t="s">
        <v>268</v>
      </c>
      <c r="F119" s="7">
        <v>45847</v>
      </c>
      <c r="G119" s="5">
        <v>7</v>
      </c>
      <c r="H119" s="10">
        <f>_xlfn.XLOOKUP(tblSales[[#This Row],[Product_id]],Products!A:A,Products!E:E)</f>
        <v>35000</v>
      </c>
      <c r="I119" s="10">
        <f>_xlfn.XLOOKUP(tblSales[[#This Row],[Product_id]],Products!A:A,Products!F:F)</f>
        <v>56000</v>
      </c>
      <c r="J119" s="10">
        <f>tblSales[[#This Row],[Quantity_sold]]*tblSales[[#This Row],[Unit_Price]]</f>
        <v>392000</v>
      </c>
      <c r="K119" s="5" t="str">
        <f t="shared" ca="1" si="2"/>
        <v>Cash</v>
      </c>
      <c r="L119" s="5" t="s">
        <v>648</v>
      </c>
      <c r="M119" s="5" t="s">
        <v>879</v>
      </c>
      <c r="N119" s="10">
        <f>tblSales[[#This Row],[Unit_Price]]*tblSales[[#This Row],[Quantity_sold]]-tblSales[[#This Row],[Cost_price]]*tblSales[[#This Row],[Quantity_sold]]</f>
        <v>147000</v>
      </c>
    </row>
    <row r="120" spans="1:14" x14ac:dyDescent="0.25">
      <c r="A120" s="5" t="s">
        <v>764</v>
      </c>
      <c r="B120" s="5" t="s">
        <v>28</v>
      </c>
      <c r="C120" t="str">
        <f>_xlfn.XLOOKUP(tblSales[[#This Row],[Product_id]],Products!A:A,Products!C:C)</f>
        <v>Agricultural Equipment</v>
      </c>
      <c r="D120" s="5" t="s">
        <v>514</v>
      </c>
      <c r="E120" s="6" t="s">
        <v>392</v>
      </c>
      <c r="F120" s="7">
        <v>45846</v>
      </c>
      <c r="G120" s="5">
        <v>18</v>
      </c>
      <c r="H120" s="10">
        <f>_xlfn.XLOOKUP(tblSales[[#This Row],[Product_id]],Products!A:A,Products!E:E)</f>
        <v>32000</v>
      </c>
      <c r="I120" s="10">
        <f>_xlfn.XLOOKUP(tblSales[[#This Row],[Product_id]],Products!A:A,Products!F:F)</f>
        <v>48000</v>
      </c>
      <c r="J120" s="10">
        <f>tblSales[[#This Row],[Quantity_sold]]*tblSales[[#This Row],[Unit_Price]]</f>
        <v>864000</v>
      </c>
      <c r="K120" s="5" t="str">
        <f t="shared" ca="1" si="2"/>
        <v>POS</v>
      </c>
      <c r="L120" s="5" t="s">
        <v>648</v>
      </c>
      <c r="M120" s="5" t="s">
        <v>879</v>
      </c>
      <c r="N120" s="10">
        <f>tblSales[[#This Row],[Unit_Price]]*tblSales[[#This Row],[Quantity_sold]]-tblSales[[#This Row],[Cost_price]]*tblSales[[#This Row],[Quantity_sold]]</f>
        <v>288000</v>
      </c>
    </row>
    <row r="121" spans="1:14" x14ac:dyDescent="0.25">
      <c r="A121" s="5" t="s">
        <v>765</v>
      </c>
      <c r="B121" s="5" t="s">
        <v>64</v>
      </c>
      <c r="C121" t="str">
        <f>_xlfn.XLOOKUP(tblSales[[#This Row],[Product_id]],Products!A:A,Products!C:C)</f>
        <v>Power Equipment</v>
      </c>
      <c r="D121" s="5" t="s">
        <v>515</v>
      </c>
      <c r="E121" s="6" t="s">
        <v>394</v>
      </c>
      <c r="F121" s="7">
        <v>45892</v>
      </c>
      <c r="G121" s="5">
        <v>2</v>
      </c>
      <c r="H121" s="10">
        <f>_xlfn.XLOOKUP(tblSales[[#This Row],[Product_id]],Products!A:A,Products!E:E)</f>
        <v>29000</v>
      </c>
      <c r="I121" s="10">
        <f>_xlfn.XLOOKUP(tblSales[[#This Row],[Product_id]],Products!A:A,Products!F:F)</f>
        <v>46000</v>
      </c>
      <c r="J121" s="10">
        <f>tblSales[[#This Row],[Quantity_sold]]*tblSales[[#This Row],[Unit_Price]]</f>
        <v>92000</v>
      </c>
      <c r="K121" s="5" t="str">
        <f t="shared" ca="1" si="2"/>
        <v>Transfer</v>
      </c>
      <c r="L121" s="5" t="s">
        <v>646</v>
      </c>
      <c r="M121" s="5" t="s">
        <v>116</v>
      </c>
      <c r="N121" s="10">
        <f>tblSales[[#This Row],[Unit_Price]]*tblSales[[#This Row],[Quantity_sold]]-tblSales[[#This Row],[Cost_price]]*tblSales[[#This Row],[Quantity_sold]]</f>
        <v>34000</v>
      </c>
    </row>
    <row r="122" spans="1:14" x14ac:dyDescent="0.25">
      <c r="A122" s="5" t="s">
        <v>766</v>
      </c>
      <c r="B122" s="5" t="s">
        <v>63</v>
      </c>
      <c r="C122" t="str">
        <f>_xlfn.XLOOKUP(tblSales[[#This Row],[Product_id]],Products!A:A,Products!C:C)</f>
        <v>Agricultural Equipment</v>
      </c>
      <c r="D122" s="5" t="s">
        <v>598</v>
      </c>
      <c r="E122" s="6" t="s">
        <v>539</v>
      </c>
      <c r="F122" s="7">
        <v>45886</v>
      </c>
      <c r="G122" s="5">
        <v>16</v>
      </c>
      <c r="H122" s="10">
        <f>_xlfn.XLOOKUP(tblSales[[#This Row],[Product_id]],Products!A:A,Products!E:E)</f>
        <v>68000</v>
      </c>
      <c r="I122" s="10">
        <f>_xlfn.XLOOKUP(tblSales[[#This Row],[Product_id]],Products!A:A,Products!F:F)</f>
        <v>105000</v>
      </c>
      <c r="J122" s="10">
        <f>tblSales[[#This Row],[Quantity_sold]]*tblSales[[#This Row],[Unit_Price]]</f>
        <v>1680000</v>
      </c>
      <c r="K122" s="5" t="str">
        <f t="shared" ca="1" si="2"/>
        <v>Cash</v>
      </c>
      <c r="L122" s="5" t="s">
        <v>646</v>
      </c>
      <c r="M122" s="5" t="s">
        <v>879</v>
      </c>
      <c r="N122" s="10">
        <f>tblSales[[#This Row],[Unit_Price]]*tblSales[[#This Row],[Quantity_sold]]-tblSales[[#This Row],[Cost_price]]*tblSales[[#This Row],[Quantity_sold]]</f>
        <v>592000</v>
      </c>
    </row>
    <row r="123" spans="1:14" x14ac:dyDescent="0.25">
      <c r="A123" s="5" t="s">
        <v>767</v>
      </c>
      <c r="B123" s="5" t="s">
        <v>65</v>
      </c>
      <c r="C123" t="str">
        <f>_xlfn.XLOOKUP(tblSales[[#This Row],[Product_id]],Products!A:A,Products!C:C)</f>
        <v>Power Equipment</v>
      </c>
      <c r="D123" s="5" t="s">
        <v>283</v>
      </c>
      <c r="E123" s="6" t="s">
        <v>284</v>
      </c>
      <c r="F123" s="7">
        <v>45883</v>
      </c>
      <c r="G123" s="5">
        <v>13</v>
      </c>
      <c r="H123" s="10">
        <f>_xlfn.XLOOKUP(tblSales[[#This Row],[Product_id]],Products!A:A,Products!E:E)</f>
        <v>52000</v>
      </c>
      <c r="I123" s="10">
        <f>_xlfn.XLOOKUP(tblSales[[#This Row],[Product_id]],Products!A:A,Products!F:F)</f>
        <v>78000</v>
      </c>
      <c r="J123" s="10">
        <f>tblSales[[#This Row],[Quantity_sold]]*tblSales[[#This Row],[Unit_Price]]</f>
        <v>1014000</v>
      </c>
      <c r="K123" s="5" t="str">
        <f t="shared" ca="1" si="2"/>
        <v>Cash</v>
      </c>
      <c r="L123" s="5" t="s">
        <v>256</v>
      </c>
      <c r="M123" s="5" t="s">
        <v>119</v>
      </c>
      <c r="N123" s="10">
        <f>tblSales[[#This Row],[Unit_Price]]*tblSales[[#This Row],[Quantity_sold]]-tblSales[[#This Row],[Cost_price]]*tblSales[[#This Row],[Quantity_sold]]</f>
        <v>338000</v>
      </c>
    </row>
    <row r="124" spans="1:14" x14ac:dyDescent="0.25">
      <c r="A124" s="5" t="s">
        <v>768</v>
      </c>
      <c r="B124" s="5" t="s">
        <v>76</v>
      </c>
      <c r="C124" t="str">
        <f>_xlfn.XLOOKUP(tblSales[[#This Row],[Product_id]],Products!A:A,Products!C:C)</f>
        <v>Agricultural Structure</v>
      </c>
      <c r="D124" s="5" t="s">
        <v>413</v>
      </c>
      <c r="E124" s="6" t="s">
        <v>414</v>
      </c>
      <c r="F124" s="7">
        <v>45885</v>
      </c>
      <c r="G124" s="5">
        <v>1</v>
      </c>
      <c r="H124" s="10">
        <f>_xlfn.XLOOKUP(tblSales[[#This Row],[Product_id]],Products!A:A,Products!E:E)</f>
        <v>145000</v>
      </c>
      <c r="I124" s="10">
        <f>_xlfn.XLOOKUP(tblSales[[#This Row],[Product_id]],Products!A:A,Products!F:F)</f>
        <v>205000</v>
      </c>
      <c r="J124" s="10">
        <f>tblSales[[#This Row],[Quantity_sold]]*tblSales[[#This Row],[Unit_Price]]</f>
        <v>205000</v>
      </c>
      <c r="K124" s="5" t="str">
        <f t="shared" ca="1" si="2"/>
        <v>POS</v>
      </c>
      <c r="L124" s="5" t="s">
        <v>646</v>
      </c>
      <c r="M124" s="5" t="s">
        <v>117</v>
      </c>
      <c r="N124" s="10">
        <f>tblSales[[#This Row],[Unit_Price]]*tblSales[[#This Row],[Quantity_sold]]-tblSales[[#This Row],[Cost_price]]*tblSales[[#This Row],[Quantity_sold]]</f>
        <v>60000</v>
      </c>
    </row>
    <row r="125" spans="1:14" x14ac:dyDescent="0.25">
      <c r="A125" s="5" t="s">
        <v>769</v>
      </c>
      <c r="B125" s="5" t="s">
        <v>31</v>
      </c>
      <c r="C125" t="str">
        <f>_xlfn.XLOOKUP(tblSales[[#This Row],[Product_id]],Products!A:A,Products!C:C)</f>
        <v>Storage Equipment</v>
      </c>
      <c r="D125" s="5" t="s">
        <v>497</v>
      </c>
      <c r="E125" s="6" t="s">
        <v>358</v>
      </c>
      <c r="F125" s="7">
        <v>45897</v>
      </c>
      <c r="G125" s="5">
        <v>17</v>
      </c>
      <c r="H125" s="10">
        <f>_xlfn.XLOOKUP(tblSales[[#This Row],[Product_id]],Products!A:A,Products!E:E)</f>
        <v>510000</v>
      </c>
      <c r="I125" s="10">
        <f>_xlfn.XLOOKUP(tblSales[[#This Row],[Product_id]],Products!A:A,Products!F:F)</f>
        <v>690000</v>
      </c>
      <c r="J125" s="10">
        <f>tblSales[[#This Row],[Quantity_sold]]*tblSales[[#This Row],[Unit_Price]]</f>
        <v>11730000</v>
      </c>
      <c r="K125" s="5" t="str">
        <f t="shared" ca="1" si="2"/>
        <v>POS</v>
      </c>
      <c r="L125" s="5" t="s">
        <v>646</v>
      </c>
      <c r="M125" s="5" t="s">
        <v>117</v>
      </c>
      <c r="N125" s="10">
        <f>tblSales[[#This Row],[Unit_Price]]*tblSales[[#This Row],[Quantity_sold]]-tblSales[[#This Row],[Cost_price]]*tblSales[[#This Row],[Quantity_sold]]</f>
        <v>3060000</v>
      </c>
    </row>
    <row r="126" spans="1:14" x14ac:dyDescent="0.25">
      <c r="A126" s="5" t="s">
        <v>770</v>
      </c>
      <c r="B126" s="5" t="s">
        <v>107</v>
      </c>
      <c r="C126" t="str">
        <f>_xlfn.XLOOKUP(tblSales[[#This Row],[Product_id]],Products!A:A,Products!C:C)</f>
        <v>Agriculture Equipment</v>
      </c>
      <c r="D126" s="5" t="s">
        <v>609</v>
      </c>
      <c r="E126" s="6" t="s">
        <v>550</v>
      </c>
      <c r="F126" s="7">
        <v>45898</v>
      </c>
      <c r="G126" s="5">
        <v>18</v>
      </c>
      <c r="H126" s="10">
        <f>_xlfn.XLOOKUP(tblSales[[#This Row],[Product_id]],Products!A:A,Products!E:E)</f>
        <v>9000</v>
      </c>
      <c r="I126" s="10">
        <f>_xlfn.XLOOKUP(tblSales[[#This Row],[Product_id]],Products!A:A,Products!F:F)</f>
        <v>15000</v>
      </c>
      <c r="J126" s="10">
        <f>tblSales[[#This Row],[Quantity_sold]]*tblSales[[#This Row],[Unit_Price]]</f>
        <v>270000</v>
      </c>
      <c r="K126" s="5" t="str">
        <f t="shared" ca="1" si="2"/>
        <v>Cash</v>
      </c>
      <c r="L126" s="5" t="s">
        <v>256</v>
      </c>
      <c r="M126" s="5" t="s">
        <v>116</v>
      </c>
      <c r="N126" s="10">
        <f>tblSales[[#This Row],[Unit_Price]]*tblSales[[#This Row],[Quantity_sold]]-tblSales[[#This Row],[Cost_price]]*tblSales[[#This Row],[Quantity_sold]]</f>
        <v>108000</v>
      </c>
    </row>
    <row r="127" spans="1:14" x14ac:dyDescent="0.25">
      <c r="A127" s="5" t="s">
        <v>771</v>
      </c>
      <c r="B127" s="5" t="s">
        <v>54</v>
      </c>
      <c r="C127" t="str">
        <f>_xlfn.XLOOKUP(tblSales[[#This Row],[Product_id]],Products!A:A,Products!C:C)</f>
        <v>Processing Equipment</v>
      </c>
      <c r="D127" s="5" t="s">
        <v>488</v>
      </c>
      <c r="E127" s="6" t="s">
        <v>340</v>
      </c>
      <c r="F127" s="7">
        <v>45889</v>
      </c>
      <c r="G127" s="5">
        <v>6</v>
      </c>
      <c r="H127" s="10">
        <f>_xlfn.XLOOKUP(tblSales[[#This Row],[Product_id]],Products!A:A,Products!E:E)</f>
        <v>210000</v>
      </c>
      <c r="I127" s="10">
        <f>_xlfn.XLOOKUP(tblSales[[#This Row],[Product_id]],Products!A:A,Products!F:F)</f>
        <v>295000</v>
      </c>
      <c r="J127" s="10">
        <f>tblSales[[#This Row],[Quantity_sold]]*tblSales[[#This Row],[Unit_Price]]</f>
        <v>1770000</v>
      </c>
      <c r="K127" s="5" t="str">
        <f t="shared" ca="1" si="2"/>
        <v>Cash</v>
      </c>
      <c r="L127" s="5" t="s">
        <v>646</v>
      </c>
      <c r="M127" s="5" t="s">
        <v>119</v>
      </c>
      <c r="N127" s="10">
        <f>tblSales[[#This Row],[Unit_Price]]*tblSales[[#This Row],[Quantity_sold]]-tblSales[[#This Row],[Cost_price]]*tblSales[[#This Row],[Quantity_sold]]</f>
        <v>510000</v>
      </c>
    </row>
    <row r="128" spans="1:14" x14ac:dyDescent="0.25">
      <c r="A128" s="5" t="s">
        <v>772</v>
      </c>
      <c r="B128" s="5" t="s">
        <v>109</v>
      </c>
      <c r="C128" t="str">
        <f>_xlfn.XLOOKUP(tblSales[[#This Row],[Product_id]],Products!A:A,Products!C:C)</f>
        <v>Agricultural Equipment</v>
      </c>
      <c r="D128" s="5" t="s">
        <v>492</v>
      </c>
      <c r="E128" s="6" t="s">
        <v>348</v>
      </c>
      <c r="F128" s="7">
        <v>45887</v>
      </c>
      <c r="G128" s="5">
        <v>2</v>
      </c>
      <c r="H128" s="10">
        <f>_xlfn.XLOOKUP(tblSales[[#This Row],[Product_id]],Products!A:A,Products!E:E)</f>
        <v>12000</v>
      </c>
      <c r="I128" s="10">
        <f>_xlfn.XLOOKUP(tblSales[[#This Row],[Product_id]],Products!A:A,Products!F:F)</f>
        <v>19000</v>
      </c>
      <c r="J128" s="10">
        <f>tblSales[[#This Row],[Quantity_sold]]*tblSales[[#This Row],[Unit_Price]]</f>
        <v>38000</v>
      </c>
      <c r="K128" s="5" t="str">
        <f t="shared" ca="1" si="2"/>
        <v>POS</v>
      </c>
      <c r="L128" s="5" t="s">
        <v>252</v>
      </c>
      <c r="M128" s="5" t="s">
        <v>116</v>
      </c>
      <c r="N128" s="10">
        <f>tblSales[[#This Row],[Unit_Price]]*tblSales[[#This Row],[Quantity_sold]]-tblSales[[#This Row],[Cost_price]]*tblSales[[#This Row],[Quantity_sold]]</f>
        <v>14000</v>
      </c>
    </row>
    <row r="129" spans="1:14" x14ac:dyDescent="0.25">
      <c r="A129" s="5" t="s">
        <v>773</v>
      </c>
      <c r="B129" s="5" t="s">
        <v>34</v>
      </c>
      <c r="C129" t="str">
        <f>_xlfn.XLOOKUP(tblSales[[#This Row],[Product_id]],Products!A:A,Products!C:C)</f>
        <v>Agricultural Equipment</v>
      </c>
      <c r="D129" s="5" t="s">
        <v>440</v>
      </c>
      <c r="E129" s="6" t="s">
        <v>243</v>
      </c>
      <c r="F129" s="7">
        <v>45889</v>
      </c>
      <c r="G129" s="5">
        <v>18</v>
      </c>
      <c r="H129" s="10">
        <f>_xlfn.XLOOKUP(tblSales[[#This Row],[Product_id]],Products!A:A,Products!E:E)</f>
        <v>54000</v>
      </c>
      <c r="I129" s="10">
        <f>_xlfn.XLOOKUP(tblSales[[#This Row],[Product_id]],Products!A:A,Products!F:F)</f>
        <v>82000</v>
      </c>
      <c r="J129" s="10">
        <f>tblSales[[#This Row],[Quantity_sold]]*tblSales[[#This Row],[Unit_Price]]</f>
        <v>1476000</v>
      </c>
      <c r="K129" s="5" t="str">
        <f t="shared" ca="1" si="2"/>
        <v>Cash</v>
      </c>
      <c r="L129" s="5" t="s">
        <v>646</v>
      </c>
      <c r="M129" s="5" t="s">
        <v>115</v>
      </c>
      <c r="N129" s="10">
        <f>tblSales[[#This Row],[Unit_Price]]*tblSales[[#This Row],[Quantity_sold]]-tblSales[[#This Row],[Cost_price]]*tblSales[[#This Row],[Quantity_sold]]</f>
        <v>504000</v>
      </c>
    </row>
    <row r="130" spans="1:14" x14ac:dyDescent="0.25">
      <c r="A130" s="5" t="s">
        <v>774</v>
      </c>
      <c r="B130" s="5" t="s">
        <v>62</v>
      </c>
      <c r="C130" t="str">
        <f>_xlfn.XLOOKUP(tblSales[[#This Row],[Product_id]],Products!A:A,Products!C:C)</f>
        <v>Processing Equipment</v>
      </c>
      <c r="D130" s="5" t="s">
        <v>484</v>
      </c>
      <c r="E130" s="6" t="s">
        <v>332</v>
      </c>
      <c r="F130" s="7">
        <v>45878</v>
      </c>
      <c r="G130" s="5">
        <v>12</v>
      </c>
      <c r="H130" s="10">
        <f>_xlfn.XLOOKUP(tblSales[[#This Row],[Product_id]],Products!A:A,Products!E:E)</f>
        <v>410000</v>
      </c>
      <c r="I130" s="10">
        <f>_xlfn.XLOOKUP(tblSales[[#This Row],[Product_id]],Products!A:A,Products!F:F)</f>
        <v>560000</v>
      </c>
      <c r="J130" s="10">
        <f>tblSales[[#This Row],[Quantity_sold]]*tblSales[[#This Row],[Unit_Price]]</f>
        <v>6720000</v>
      </c>
      <c r="K130" s="5" t="str">
        <f t="shared" ca="1" si="2"/>
        <v>Transfer</v>
      </c>
      <c r="L130" s="5" t="s">
        <v>252</v>
      </c>
      <c r="M130" s="5" t="s">
        <v>117</v>
      </c>
      <c r="N130" s="10">
        <f>tblSales[[#This Row],[Unit_Price]]*tblSales[[#This Row],[Quantity_sold]]-tblSales[[#This Row],[Cost_price]]*tblSales[[#This Row],[Quantity_sold]]</f>
        <v>1800000</v>
      </c>
    </row>
    <row r="131" spans="1:14" x14ac:dyDescent="0.25">
      <c r="A131" s="5" t="s">
        <v>775</v>
      </c>
      <c r="B131" s="5" t="s">
        <v>106</v>
      </c>
      <c r="C131" t="str">
        <f>_xlfn.XLOOKUP(tblSales[[#This Row],[Product_id]],Products!A:A,Products!C:C)</f>
        <v>Agricultural Equipment</v>
      </c>
      <c r="D131" s="5" t="s">
        <v>623</v>
      </c>
      <c r="E131" s="6" t="s">
        <v>564</v>
      </c>
      <c r="F131" s="7">
        <v>45895</v>
      </c>
      <c r="G131" s="5">
        <v>18</v>
      </c>
      <c r="H131" s="10">
        <f>_xlfn.XLOOKUP(tblSales[[#This Row],[Product_id]],Products!A:A,Products!E:E)</f>
        <v>120000</v>
      </c>
      <c r="I131" s="10">
        <f>_xlfn.XLOOKUP(tblSales[[#This Row],[Product_id]],Products!A:A,Products!F:F)</f>
        <v>180000</v>
      </c>
      <c r="J131" s="10">
        <f>tblSales[[#This Row],[Quantity_sold]]*tblSales[[#This Row],[Unit_Price]]</f>
        <v>3240000</v>
      </c>
      <c r="K131" s="5" t="str">
        <f t="shared" ca="1" si="2"/>
        <v>Transfer</v>
      </c>
      <c r="L131" s="5" t="s">
        <v>270</v>
      </c>
      <c r="M131" s="5" t="s">
        <v>879</v>
      </c>
      <c r="N131" s="10">
        <f>tblSales[[#This Row],[Unit_Price]]*tblSales[[#This Row],[Quantity_sold]]-tblSales[[#This Row],[Cost_price]]*tblSales[[#This Row],[Quantity_sold]]</f>
        <v>1080000</v>
      </c>
    </row>
    <row r="132" spans="1:14" x14ac:dyDescent="0.25">
      <c r="A132" s="5" t="s">
        <v>776</v>
      </c>
      <c r="B132" s="5" t="s">
        <v>89</v>
      </c>
      <c r="C132" t="str">
        <f>_xlfn.XLOOKUP(tblSales[[#This Row],[Product_id]],Products!A:A,Products!C:C)</f>
        <v>Agricultural Equipment</v>
      </c>
      <c r="D132" s="5" t="s">
        <v>624</v>
      </c>
      <c r="E132" s="6" t="s">
        <v>565</v>
      </c>
      <c r="F132" s="7">
        <v>45884</v>
      </c>
      <c r="G132" s="5">
        <v>1</v>
      </c>
      <c r="H132" s="10">
        <f>_xlfn.XLOOKUP(tblSales[[#This Row],[Product_id]],Products!A:A,Products!E:E)</f>
        <v>8500</v>
      </c>
      <c r="I132" s="10">
        <f>_xlfn.XLOOKUP(tblSales[[#This Row],[Product_id]],Products!A:A,Products!F:F)</f>
        <v>15000</v>
      </c>
      <c r="J132" s="10">
        <f>tblSales[[#This Row],[Quantity_sold]]*tblSales[[#This Row],[Unit_Price]]</f>
        <v>15000</v>
      </c>
      <c r="K132" s="5" t="str">
        <f t="shared" ca="1" si="2"/>
        <v>Cash</v>
      </c>
      <c r="L132" s="5" t="s">
        <v>646</v>
      </c>
      <c r="M132" s="5" t="s">
        <v>879</v>
      </c>
      <c r="N132" s="10">
        <f>tblSales[[#This Row],[Unit_Price]]*tblSales[[#This Row],[Quantity_sold]]-tblSales[[#This Row],[Cost_price]]*tblSales[[#This Row],[Quantity_sold]]</f>
        <v>6500</v>
      </c>
    </row>
    <row r="133" spans="1:14" x14ac:dyDescent="0.25">
      <c r="A133" s="5" t="s">
        <v>777</v>
      </c>
      <c r="B133" s="5" t="s">
        <v>95</v>
      </c>
      <c r="C133" t="str">
        <f>_xlfn.XLOOKUP(tblSales[[#This Row],[Product_id]],Products!A:A,Products!C:C)</f>
        <v>Agricultural Equipment</v>
      </c>
      <c r="D133" s="5" t="s">
        <v>501</v>
      </c>
      <c r="E133" s="6" t="s">
        <v>366</v>
      </c>
      <c r="F133" s="7">
        <v>45880</v>
      </c>
      <c r="G133" s="5">
        <v>17</v>
      </c>
      <c r="H133" s="10">
        <f>_xlfn.XLOOKUP(tblSales[[#This Row],[Product_id]],Products!A:A,Products!E:E)</f>
        <v>210000</v>
      </c>
      <c r="I133" s="10">
        <f>_xlfn.XLOOKUP(tblSales[[#This Row],[Product_id]],Products!A:A,Products!F:F)</f>
        <v>295000</v>
      </c>
      <c r="J133" s="10">
        <f>tblSales[[#This Row],[Quantity_sold]]*tblSales[[#This Row],[Unit_Price]]</f>
        <v>5015000</v>
      </c>
      <c r="K133" s="5" t="str">
        <f t="shared" ca="1" si="2"/>
        <v>Cash</v>
      </c>
      <c r="L133" s="5" t="s">
        <v>646</v>
      </c>
      <c r="M133" s="5" t="s">
        <v>114</v>
      </c>
      <c r="N133" s="10">
        <f>tblSales[[#This Row],[Unit_Price]]*tblSales[[#This Row],[Quantity_sold]]-tblSales[[#This Row],[Cost_price]]*tblSales[[#This Row],[Quantity_sold]]</f>
        <v>1445000</v>
      </c>
    </row>
    <row r="134" spans="1:14" x14ac:dyDescent="0.25">
      <c r="A134" s="5" t="s">
        <v>778</v>
      </c>
      <c r="B134" s="5" t="s">
        <v>38</v>
      </c>
      <c r="C134" t="str">
        <f>_xlfn.XLOOKUP(tblSales[[#This Row],[Product_id]],Products!A:A,Products!C:C)</f>
        <v>Industrial Equipment</v>
      </c>
      <c r="D134" s="5" t="s">
        <v>466</v>
      </c>
      <c r="E134" s="6" t="s">
        <v>296</v>
      </c>
      <c r="F134" s="7">
        <v>45873</v>
      </c>
      <c r="G134" s="5">
        <v>17</v>
      </c>
      <c r="H134" s="10">
        <f>_xlfn.XLOOKUP(tblSales[[#This Row],[Product_id]],Products!A:A,Products!E:E)</f>
        <v>210000</v>
      </c>
      <c r="I134" s="10">
        <f>_xlfn.XLOOKUP(tblSales[[#This Row],[Product_id]],Products!A:A,Products!F:F)</f>
        <v>295000</v>
      </c>
      <c r="J134" s="10">
        <f>tblSales[[#This Row],[Quantity_sold]]*tblSales[[#This Row],[Unit_Price]]</f>
        <v>5015000</v>
      </c>
      <c r="K134" s="5" t="str">
        <f t="shared" ca="1" si="2"/>
        <v>POS</v>
      </c>
      <c r="L134" s="5" t="s">
        <v>648</v>
      </c>
      <c r="M134" s="5" t="s">
        <v>119</v>
      </c>
      <c r="N134" s="10">
        <f>tblSales[[#This Row],[Unit_Price]]*tblSales[[#This Row],[Quantity_sold]]-tblSales[[#This Row],[Cost_price]]*tblSales[[#This Row],[Quantity_sold]]</f>
        <v>1445000</v>
      </c>
    </row>
    <row r="135" spans="1:14" x14ac:dyDescent="0.25">
      <c r="A135" s="5" t="s">
        <v>779</v>
      </c>
      <c r="B135" s="5" t="s">
        <v>94</v>
      </c>
      <c r="C135" t="str">
        <f>_xlfn.XLOOKUP(tblSales[[#This Row],[Product_id]],Products!A:A,Products!C:C)</f>
        <v>Processing Equipment</v>
      </c>
      <c r="D135" s="5" t="s">
        <v>283</v>
      </c>
      <c r="E135" s="6" t="s">
        <v>284</v>
      </c>
      <c r="F135" s="7">
        <v>45894</v>
      </c>
      <c r="G135" s="5">
        <v>9</v>
      </c>
      <c r="H135" s="10">
        <f>_xlfn.XLOOKUP(tblSales[[#This Row],[Product_id]],Products!A:A,Products!E:E)</f>
        <v>275000</v>
      </c>
      <c r="I135" s="10">
        <f>_xlfn.XLOOKUP(tblSales[[#This Row],[Product_id]],Products!A:A,Products!F:F)</f>
        <v>385000</v>
      </c>
      <c r="J135" s="10">
        <f>tblSales[[#This Row],[Quantity_sold]]*tblSales[[#This Row],[Unit_Price]]</f>
        <v>3465000</v>
      </c>
      <c r="K135" s="5" t="str">
        <f t="shared" ca="1" si="2"/>
        <v>Transfer</v>
      </c>
      <c r="L135" s="5" t="s">
        <v>651</v>
      </c>
      <c r="M135" s="5" t="s">
        <v>114</v>
      </c>
      <c r="N135" s="10">
        <f>tblSales[[#This Row],[Unit_Price]]*tblSales[[#This Row],[Quantity_sold]]-tblSales[[#This Row],[Cost_price]]*tblSales[[#This Row],[Quantity_sold]]</f>
        <v>990000</v>
      </c>
    </row>
    <row r="136" spans="1:14" x14ac:dyDescent="0.25">
      <c r="A136" s="5" t="s">
        <v>780</v>
      </c>
      <c r="B136" s="5" t="s">
        <v>4</v>
      </c>
      <c r="C136" t="str">
        <f>_xlfn.XLOOKUP(tblSales[[#This Row],[Product_id]],Products!A:A,Products!C:C)</f>
        <v>Agricultural Machine</v>
      </c>
      <c r="D136" s="5" t="s">
        <v>510</v>
      </c>
      <c r="E136" s="6" t="s">
        <v>384</v>
      </c>
      <c r="F136" s="7">
        <v>45885</v>
      </c>
      <c r="G136" s="5">
        <v>2</v>
      </c>
      <c r="H136" s="10">
        <f>_xlfn.XLOOKUP(tblSales[[#This Row],[Product_id]],Products!A:A,Products!E:E)</f>
        <v>180000</v>
      </c>
      <c r="I136" s="10">
        <f>_xlfn.XLOOKUP(tblSales[[#This Row],[Product_id]],Products!A:A,Products!F:F)</f>
        <v>245000</v>
      </c>
      <c r="J136" s="10">
        <f>tblSales[[#This Row],[Quantity_sold]]*tblSales[[#This Row],[Unit_Price]]</f>
        <v>490000</v>
      </c>
      <c r="K136" s="5" t="str">
        <f t="shared" ca="1" si="2"/>
        <v>Cash</v>
      </c>
      <c r="L136" s="5" t="s">
        <v>648</v>
      </c>
      <c r="M136" s="5" t="s">
        <v>879</v>
      </c>
      <c r="N136" s="10">
        <f>tblSales[[#This Row],[Unit_Price]]*tblSales[[#This Row],[Quantity_sold]]-tblSales[[#This Row],[Cost_price]]*tblSales[[#This Row],[Quantity_sold]]</f>
        <v>130000</v>
      </c>
    </row>
    <row r="137" spans="1:14" x14ac:dyDescent="0.25">
      <c r="A137" s="5" t="s">
        <v>781</v>
      </c>
      <c r="B137" s="5" t="s">
        <v>32</v>
      </c>
      <c r="C137" t="str">
        <f>_xlfn.XLOOKUP(tblSales[[#This Row],[Product_id]],Products!A:A,Products!C:C)</f>
        <v>Agricultural Equipment</v>
      </c>
      <c r="D137" s="5" t="s">
        <v>511</v>
      </c>
      <c r="E137" s="6" t="s">
        <v>386</v>
      </c>
      <c r="F137" s="7">
        <v>45885</v>
      </c>
      <c r="G137" s="5">
        <v>2</v>
      </c>
      <c r="H137" s="10">
        <f>_xlfn.XLOOKUP(tblSales[[#This Row],[Product_id]],Products!A:A,Products!E:E)</f>
        <v>98000</v>
      </c>
      <c r="I137" s="10">
        <f>_xlfn.XLOOKUP(tblSales[[#This Row],[Product_id]],Products!A:A,Products!F:F)</f>
        <v>145000</v>
      </c>
      <c r="J137" s="10">
        <f>tblSales[[#This Row],[Quantity_sold]]*tblSales[[#This Row],[Unit_Price]]</f>
        <v>290000</v>
      </c>
      <c r="K137" s="5" t="str">
        <f t="shared" ca="1" si="2"/>
        <v>Transfer</v>
      </c>
      <c r="L137" s="5" t="s">
        <v>646</v>
      </c>
      <c r="M137" s="5" t="s">
        <v>117</v>
      </c>
      <c r="N137" s="10">
        <f>tblSales[[#This Row],[Unit_Price]]*tblSales[[#This Row],[Quantity_sold]]-tblSales[[#This Row],[Cost_price]]*tblSales[[#This Row],[Quantity_sold]]</f>
        <v>94000</v>
      </c>
    </row>
    <row r="138" spans="1:14" x14ac:dyDescent="0.25">
      <c r="A138" s="5" t="s">
        <v>782</v>
      </c>
      <c r="B138" s="5" t="s">
        <v>67</v>
      </c>
      <c r="C138" t="str">
        <f>_xlfn.XLOOKUP(tblSales[[#This Row],[Product_id]],Products!A:A,Products!C:C)</f>
        <v>Agricultural Equipment</v>
      </c>
      <c r="D138" s="5" t="s">
        <v>363</v>
      </c>
      <c r="E138" s="6" t="s">
        <v>364</v>
      </c>
      <c r="F138" s="7">
        <v>45921</v>
      </c>
      <c r="G138" s="5">
        <v>7</v>
      </c>
      <c r="H138" s="10">
        <f>_xlfn.XLOOKUP(tblSales[[#This Row],[Product_id]],Products!A:A,Products!E:E)</f>
        <v>18500</v>
      </c>
      <c r="I138" s="10">
        <f>_xlfn.XLOOKUP(tblSales[[#This Row],[Product_id]],Products!A:A,Products!F:F)</f>
        <v>29500</v>
      </c>
      <c r="J138" s="10">
        <f>tblSales[[#This Row],[Quantity_sold]]*tblSales[[#This Row],[Unit_Price]]</f>
        <v>206500</v>
      </c>
      <c r="K138" s="5" t="str">
        <f t="shared" ca="1" si="2"/>
        <v>Transfer</v>
      </c>
      <c r="L138" s="5" t="s">
        <v>646</v>
      </c>
      <c r="M138" s="5" t="s">
        <v>119</v>
      </c>
      <c r="N138" s="10">
        <f>tblSales[[#This Row],[Unit_Price]]*tblSales[[#This Row],[Quantity_sold]]-tblSales[[#This Row],[Cost_price]]*tblSales[[#This Row],[Quantity_sold]]</f>
        <v>77000</v>
      </c>
    </row>
    <row r="139" spans="1:14" x14ac:dyDescent="0.25">
      <c r="A139" s="5" t="s">
        <v>783</v>
      </c>
      <c r="B139" s="5" t="s">
        <v>50</v>
      </c>
      <c r="C139" t="str">
        <f>_xlfn.XLOOKUP(tblSales[[#This Row],[Product_id]],Products!A:A,Products!C:C)</f>
        <v>Storage Equipment</v>
      </c>
      <c r="D139" s="5" t="s">
        <v>607</v>
      </c>
      <c r="E139" s="6" t="s">
        <v>548</v>
      </c>
      <c r="F139" s="7">
        <v>45905</v>
      </c>
      <c r="G139" s="5">
        <v>9</v>
      </c>
      <c r="H139" s="10">
        <f>_xlfn.XLOOKUP(tblSales[[#This Row],[Product_id]],Products!A:A,Products!E:E)</f>
        <v>38000</v>
      </c>
      <c r="I139" s="10">
        <f>_xlfn.XLOOKUP(tblSales[[#This Row],[Product_id]],Products!A:A,Products!F:F)</f>
        <v>58000</v>
      </c>
      <c r="J139" s="10">
        <f>tblSales[[#This Row],[Quantity_sold]]*tblSales[[#This Row],[Unit_Price]]</f>
        <v>522000</v>
      </c>
      <c r="K139" s="5" t="str">
        <f t="shared" ca="1" si="2"/>
        <v>POS</v>
      </c>
      <c r="L139" s="5" t="s">
        <v>646</v>
      </c>
      <c r="M139" s="5" t="s">
        <v>114</v>
      </c>
      <c r="N139" s="10">
        <f>tblSales[[#This Row],[Unit_Price]]*tblSales[[#This Row],[Quantity_sold]]-tblSales[[#This Row],[Cost_price]]*tblSales[[#This Row],[Quantity_sold]]</f>
        <v>180000</v>
      </c>
    </row>
    <row r="140" spans="1:14" x14ac:dyDescent="0.25">
      <c r="A140" s="5" t="s">
        <v>784</v>
      </c>
      <c r="B140" s="5" t="s">
        <v>6</v>
      </c>
      <c r="C140" t="str">
        <f>_xlfn.XLOOKUP(tblSales[[#This Row],[Product_id]],Products!A:A,Products!C:C)</f>
        <v>Agricultural Machine</v>
      </c>
      <c r="D140" s="5" t="s">
        <v>519</v>
      </c>
      <c r="E140" s="6" t="s">
        <v>402</v>
      </c>
      <c r="F140" s="7">
        <v>45928</v>
      </c>
      <c r="G140" s="5">
        <v>20</v>
      </c>
      <c r="H140" s="10">
        <f>_xlfn.XLOOKUP(tblSales[[#This Row],[Product_id]],Products!A:A,Products!E:E)</f>
        <v>95000</v>
      </c>
      <c r="I140" s="10">
        <f>_xlfn.XLOOKUP(tblSales[[#This Row],[Product_id]],Products!A:A,Products!F:F)</f>
        <v>135000</v>
      </c>
      <c r="J140" s="10">
        <f>tblSales[[#This Row],[Quantity_sold]]*tblSales[[#This Row],[Unit_Price]]</f>
        <v>2700000</v>
      </c>
      <c r="K140" s="5" t="str">
        <f t="shared" ca="1" si="2"/>
        <v>POS</v>
      </c>
      <c r="L140" s="5" t="s">
        <v>648</v>
      </c>
      <c r="M140" s="5" t="s">
        <v>116</v>
      </c>
      <c r="N140" s="10">
        <f>tblSales[[#This Row],[Unit_Price]]*tblSales[[#This Row],[Quantity_sold]]-tblSales[[#This Row],[Cost_price]]*tblSales[[#This Row],[Quantity_sold]]</f>
        <v>800000</v>
      </c>
    </row>
    <row r="141" spans="1:14" x14ac:dyDescent="0.25">
      <c r="A141" s="5" t="s">
        <v>785</v>
      </c>
      <c r="B141" s="5" t="s">
        <v>43</v>
      </c>
      <c r="C141" t="str">
        <f>_xlfn.XLOOKUP(tblSales[[#This Row],[Product_id]],Products!A:A,Products!C:C)</f>
        <v>Agricultural Machine</v>
      </c>
      <c r="D141" s="5" t="s">
        <v>478</v>
      </c>
      <c r="E141" s="6" t="s">
        <v>320</v>
      </c>
      <c r="F141" s="7">
        <v>45914</v>
      </c>
      <c r="G141" s="5">
        <v>7</v>
      </c>
      <c r="H141" s="10">
        <f>_xlfn.XLOOKUP(tblSales[[#This Row],[Product_id]],Products!A:A,Products!E:E)</f>
        <v>620000</v>
      </c>
      <c r="I141" s="10">
        <f>_xlfn.XLOOKUP(tblSales[[#This Row],[Product_id]],Products!A:A,Products!F:F)</f>
        <v>820000</v>
      </c>
      <c r="J141" s="10">
        <f>tblSales[[#This Row],[Quantity_sold]]*tblSales[[#This Row],[Unit_Price]]</f>
        <v>5740000</v>
      </c>
      <c r="K141" s="5" t="str">
        <f t="shared" ca="1" si="2"/>
        <v>Transfer</v>
      </c>
      <c r="L141" s="5" t="s">
        <v>651</v>
      </c>
      <c r="M141" s="5" t="s">
        <v>116</v>
      </c>
      <c r="N141" s="10">
        <f>tblSales[[#This Row],[Unit_Price]]*tblSales[[#This Row],[Quantity_sold]]-tblSales[[#This Row],[Cost_price]]*tblSales[[#This Row],[Quantity_sold]]</f>
        <v>1400000</v>
      </c>
    </row>
    <row r="142" spans="1:14" x14ac:dyDescent="0.25">
      <c r="A142" s="5" t="s">
        <v>786</v>
      </c>
      <c r="B142" s="5" t="s">
        <v>105</v>
      </c>
      <c r="C142" t="str">
        <f>_xlfn.XLOOKUP(tblSales[[#This Row],[Product_id]],Products!A:A,Products!C:C)</f>
        <v>Agricultural Equipment</v>
      </c>
      <c r="D142" s="5" t="s">
        <v>602</v>
      </c>
      <c r="E142" s="6" t="s">
        <v>543</v>
      </c>
      <c r="F142" s="7">
        <v>45914</v>
      </c>
      <c r="G142" s="5">
        <v>11</v>
      </c>
      <c r="H142" s="10">
        <f>_xlfn.XLOOKUP(tblSales[[#This Row],[Product_id]],Products!A:A,Products!E:E)</f>
        <v>45000</v>
      </c>
      <c r="I142" s="10">
        <f>_xlfn.XLOOKUP(tblSales[[#This Row],[Product_id]],Products!A:A,Products!F:F)</f>
        <v>70000</v>
      </c>
      <c r="J142" s="10">
        <f>tblSales[[#This Row],[Quantity_sold]]*tblSales[[#This Row],[Unit_Price]]</f>
        <v>770000</v>
      </c>
      <c r="K142" s="5" t="str">
        <f t="shared" ca="1" si="2"/>
        <v>Transfer</v>
      </c>
      <c r="L142" s="5" t="s">
        <v>646</v>
      </c>
      <c r="M142" s="5" t="s">
        <v>117</v>
      </c>
      <c r="N142" s="10">
        <f>tblSales[[#This Row],[Unit_Price]]*tblSales[[#This Row],[Quantity_sold]]-tblSales[[#This Row],[Cost_price]]*tblSales[[#This Row],[Quantity_sold]]</f>
        <v>275000</v>
      </c>
    </row>
    <row r="143" spans="1:14" x14ac:dyDescent="0.25">
      <c r="A143" s="5" t="s">
        <v>787</v>
      </c>
      <c r="B143" s="5" t="s">
        <v>12</v>
      </c>
      <c r="C143" t="str">
        <f>_xlfn.XLOOKUP(tblSales[[#This Row],[Product_id]],Products!A:A,Products!C:C)</f>
        <v>Agricultural Equipment</v>
      </c>
      <c r="D143" s="5" t="s">
        <v>623</v>
      </c>
      <c r="E143" s="6" t="s">
        <v>564</v>
      </c>
      <c r="F143" s="7">
        <v>45922</v>
      </c>
      <c r="G143" s="5">
        <v>5</v>
      </c>
      <c r="H143" s="10">
        <f>_xlfn.XLOOKUP(tblSales[[#This Row],[Product_id]],Products!A:A,Products!E:E)</f>
        <v>260000</v>
      </c>
      <c r="I143" s="10">
        <f>_xlfn.XLOOKUP(tblSales[[#This Row],[Product_id]],Products!A:A,Products!F:F)</f>
        <v>345000</v>
      </c>
      <c r="J143" s="10">
        <f>tblSales[[#This Row],[Quantity_sold]]*tblSales[[#This Row],[Unit_Price]]</f>
        <v>1725000</v>
      </c>
      <c r="K143" s="5" t="str">
        <f t="shared" ca="1" si="2"/>
        <v>POS</v>
      </c>
      <c r="L143" s="5" t="s">
        <v>270</v>
      </c>
      <c r="M143" s="5" t="s">
        <v>119</v>
      </c>
      <c r="N143" s="10">
        <f>tblSales[[#This Row],[Unit_Price]]*tblSales[[#This Row],[Quantity_sold]]-tblSales[[#This Row],[Cost_price]]*tblSales[[#This Row],[Quantity_sold]]</f>
        <v>425000</v>
      </c>
    </row>
    <row r="144" spans="1:14" x14ac:dyDescent="0.25">
      <c r="A144" s="5" t="s">
        <v>788</v>
      </c>
      <c r="B144" s="5" t="s">
        <v>100</v>
      </c>
      <c r="C144" t="str">
        <f>_xlfn.XLOOKUP(tblSales[[#This Row],[Product_id]],Products!A:A,Products!C:C)</f>
        <v>Agricultural Equipment</v>
      </c>
      <c r="D144" s="5" t="s">
        <v>369</v>
      </c>
      <c r="E144" s="6" t="s">
        <v>370</v>
      </c>
      <c r="F144" s="7">
        <v>45903</v>
      </c>
      <c r="G144" s="5">
        <v>10</v>
      </c>
      <c r="H144" s="10">
        <f>_xlfn.XLOOKUP(tblSales[[#This Row],[Product_id]],Products!A:A,Products!E:E)</f>
        <v>42000</v>
      </c>
      <c r="I144" s="10">
        <f>_xlfn.XLOOKUP(tblSales[[#This Row],[Product_id]],Products!A:A,Products!F:F)</f>
        <v>68000</v>
      </c>
      <c r="J144" s="10">
        <f>tblSales[[#This Row],[Quantity_sold]]*tblSales[[#This Row],[Unit_Price]]</f>
        <v>680000</v>
      </c>
      <c r="K144" s="5" t="str">
        <f t="shared" ca="1" si="2"/>
        <v>POS</v>
      </c>
      <c r="L144" s="5" t="s">
        <v>648</v>
      </c>
      <c r="M144" s="5" t="s">
        <v>119</v>
      </c>
      <c r="N144" s="10">
        <f>tblSales[[#This Row],[Unit_Price]]*tblSales[[#This Row],[Quantity_sold]]-tblSales[[#This Row],[Cost_price]]*tblSales[[#This Row],[Quantity_sold]]</f>
        <v>260000</v>
      </c>
    </row>
    <row r="145" spans="1:14" x14ac:dyDescent="0.25">
      <c r="A145" s="5" t="s">
        <v>789</v>
      </c>
      <c r="B145" s="5" t="s">
        <v>43</v>
      </c>
      <c r="C145" t="str">
        <f>_xlfn.XLOOKUP(tblSales[[#This Row],[Product_id]],Products!A:A,Products!C:C)</f>
        <v>Agricultural Machine</v>
      </c>
      <c r="D145" s="5" t="s">
        <v>476</v>
      </c>
      <c r="E145" s="6" t="s">
        <v>316</v>
      </c>
      <c r="F145" s="7">
        <v>45928</v>
      </c>
      <c r="G145" s="5">
        <v>14</v>
      </c>
      <c r="H145" s="10">
        <f>_xlfn.XLOOKUP(tblSales[[#This Row],[Product_id]],Products!A:A,Products!E:E)</f>
        <v>620000</v>
      </c>
      <c r="I145" s="10">
        <f>_xlfn.XLOOKUP(tblSales[[#This Row],[Product_id]],Products!A:A,Products!F:F)</f>
        <v>820000</v>
      </c>
      <c r="J145" s="10">
        <f>tblSales[[#This Row],[Quantity_sold]]*tblSales[[#This Row],[Unit_Price]]</f>
        <v>11480000</v>
      </c>
      <c r="K145" s="5" t="str">
        <f t="shared" ca="1" si="2"/>
        <v>Transfer</v>
      </c>
      <c r="L145" s="5" t="s">
        <v>651</v>
      </c>
      <c r="M145" s="5" t="s">
        <v>117</v>
      </c>
      <c r="N145" s="10">
        <f>tblSales[[#This Row],[Unit_Price]]*tblSales[[#This Row],[Quantity_sold]]-tblSales[[#This Row],[Cost_price]]*tblSales[[#This Row],[Quantity_sold]]</f>
        <v>2800000</v>
      </c>
    </row>
    <row r="146" spans="1:14" x14ac:dyDescent="0.25">
      <c r="A146" s="5" t="s">
        <v>790</v>
      </c>
      <c r="B146" s="5" t="s">
        <v>46</v>
      </c>
      <c r="C146" t="str">
        <f>_xlfn.XLOOKUP(tblSales[[#This Row],[Product_id]],Products!A:A,Products!C:C)</f>
        <v>Power Equipment</v>
      </c>
      <c r="D146" s="5" t="s">
        <v>609</v>
      </c>
      <c r="E146" s="6" t="s">
        <v>550</v>
      </c>
      <c r="F146" s="7">
        <v>45924</v>
      </c>
      <c r="G146" s="5">
        <v>7</v>
      </c>
      <c r="H146" s="10">
        <f>_xlfn.XLOOKUP(tblSales[[#This Row],[Product_id]],Products!A:A,Products!E:E)</f>
        <v>65000</v>
      </c>
      <c r="I146" s="10">
        <f>_xlfn.XLOOKUP(tblSales[[#This Row],[Product_id]],Products!A:A,Products!F:F)</f>
        <v>95000</v>
      </c>
      <c r="J146" s="10">
        <f>tblSales[[#This Row],[Quantity_sold]]*tblSales[[#This Row],[Unit_Price]]</f>
        <v>665000</v>
      </c>
      <c r="K146" s="5" t="str">
        <f t="shared" ref="K146:K177" ca="1" si="3">CHOOSE(RANDBETWEEN(1,3), "Cash", "Transfer", "POS")</f>
        <v>Cash</v>
      </c>
      <c r="L146" s="5" t="s">
        <v>256</v>
      </c>
      <c r="M146" s="5" t="s">
        <v>879</v>
      </c>
      <c r="N146" s="10">
        <f>tblSales[[#This Row],[Unit_Price]]*tblSales[[#This Row],[Quantity_sold]]-tblSales[[#This Row],[Cost_price]]*tblSales[[#This Row],[Quantity_sold]]</f>
        <v>210000</v>
      </c>
    </row>
    <row r="147" spans="1:14" x14ac:dyDescent="0.25">
      <c r="A147" s="5" t="s">
        <v>791</v>
      </c>
      <c r="B147" s="5" t="s">
        <v>14</v>
      </c>
      <c r="C147" t="str">
        <f>_xlfn.XLOOKUP(tblSales[[#This Row],[Product_id]],Products!A:A,Products!C:C)</f>
        <v>Agricultural Equipment</v>
      </c>
      <c r="D147" s="5" t="s">
        <v>488</v>
      </c>
      <c r="E147" s="6" t="s">
        <v>340</v>
      </c>
      <c r="F147" s="7">
        <v>45918</v>
      </c>
      <c r="G147" s="5">
        <v>8</v>
      </c>
      <c r="H147" s="10">
        <f>_xlfn.XLOOKUP(tblSales[[#This Row],[Product_id]],Products!A:A,Products!E:E)</f>
        <v>15000</v>
      </c>
      <c r="I147" s="10">
        <f>_xlfn.XLOOKUP(tblSales[[#This Row],[Product_id]],Products!A:A,Products!F:F)</f>
        <v>24000</v>
      </c>
      <c r="J147" s="10">
        <f>tblSales[[#This Row],[Quantity_sold]]*tblSales[[#This Row],[Unit_Price]]</f>
        <v>192000</v>
      </c>
      <c r="K147" s="5" t="str">
        <f t="shared" ca="1" si="3"/>
        <v>Transfer</v>
      </c>
      <c r="L147" s="5" t="s">
        <v>646</v>
      </c>
      <c r="M147" s="5" t="s">
        <v>114</v>
      </c>
      <c r="N147" s="10">
        <f>tblSales[[#This Row],[Unit_Price]]*tblSales[[#This Row],[Quantity_sold]]-tblSales[[#This Row],[Cost_price]]*tblSales[[#This Row],[Quantity_sold]]</f>
        <v>72000</v>
      </c>
    </row>
    <row r="148" spans="1:14" x14ac:dyDescent="0.25">
      <c r="A148" s="5" t="s">
        <v>792</v>
      </c>
      <c r="B148" s="5" t="s">
        <v>69</v>
      </c>
      <c r="C148" t="str">
        <f>_xlfn.XLOOKUP(tblSales[[#This Row],[Product_id]],Products!A:A,Products!C:C)</f>
        <v>Agricultural Equipment</v>
      </c>
      <c r="D148" s="5" t="s">
        <v>459</v>
      </c>
      <c r="E148" s="6" t="s">
        <v>282</v>
      </c>
      <c r="F148" s="7">
        <v>45916</v>
      </c>
      <c r="G148" s="5">
        <v>12</v>
      </c>
      <c r="H148" s="10">
        <f>_xlfn.XLOOKUP(tblSales[[#This Row],[Product_id]],Products!A:A,Products!E:E)</f>
        <v>12000</v>
      </c>
      <c r="I148" s="10">
        <f>_xlfn.XLOOKUP(tblSales[[#This Row],[Product_id]],Products!A:A,Products!F:F)</f>
        <v>20000</v>
      </c>
      <c r="J148" s="10">
        <f>tblSales[[#This Row],[Quantity_sold]]*tblSales[[#This Row],[Unit_Price]]</f>
        <v>240000</v>
      </c>
      <c r="K148" s="5" t="str">
        <f t="shared" ca="1" si="3"/>
        <v>Cash</v>
      </c>
      <c r="L148" s="5" t="s">
        <v>270</v>
      </c>
      <c r="M148" s="5" t="s">
        <v>117</v>
      </c>
      <c r="N148" s="10">
        <f>tblSales[[#This Row],[Unit_Price]]*tblSales[[#This Row],[Quantity_sold]]-tblSales[[#This Row],[Cost_price]]*tblSales[[#This Row],[Quantity_sold]]</f>
        <v>96000</v>
      </c>
    </row>
    <row r="149" spans="1:14" x14ac:dyDescent="0.25">
      <c r="A149" s="5" t="s">
        <v>793</v>
      </c>
      <c r="B149" s="5" t="s">
        <v>31</v>
      </c>
      <c r="C149" t="str">
        <f>_xlfn.XLOOKUP(tblSales[[#This Row],[Product_id]],Products!A:A,Products!C:C)</f>
        <v>Storage Equipment</v>
      </c>
      <c r="D149" s="5" t="s">
        <v>614</v>
      </c>
      <c r="E149" s="6" t="s">
        <v>555</v>
      </c>
      <c r="F149" s="7">
        <v>45925</v>
      </c>
      <c r="G149" s="5">
        <v>15</v>
      </c>
      <c r="H149" s="10">
        <f>_xlfn.XLOOKUP(tblSales[[#This Row],[Product_id]],Products!A:A,Products!E:E)</f>
        <v>510000</v>
      </c>
      <c r="I149" s="10">
        <f>_xlfn.XLOOKUP(tblSales[[#This Row],[Product_id]],Products!A:A,Products!F:F)</f>
        <v>690000</v>
      </c>
      <c r="J149" s="10">
        <f>tblSales[[#This Row],[Quantity_sold]]*tblSales[[#This Row],[Unit_Price]]</f>
        <v>10350000</v>
      </c>
      <c r="K149" s="5" t="str">
        <f t="shared" ca="1" si="3"/>
        <v>Transfer</v>
      </c>
      <c r="L149" s="5" t="s">
        <v>270</v>
      </c>
      <c r="M149" s="5" t="s">
        <v>114</v>
      </c>
      <c r="N149" s="10">
        <f>tblSales[[#This Row],[Unit_Price]]*tblSales[[#This Row],[Quantity_sold]]-tblSales[[#This Row],[Cost_price]]*tblSales[[#This Row],[Quantity_sold]]</f>
        <v>2700000</v>
      </c>
    </row>
    <row r="150" spans="1:14" x14ac:dyDescent="0.25">
      <c r="A150" s="5" t="s">
        <v>794</v>
      </c>
      <c r="B150" s="5" t="s">
        <v>99</v>
      </c>
      <c r="C150" t="str">
        <f>_xlfn.XLOOKUP(tblSales[[#This Row],[Product_id]],Products!A:A,Products!C:C)</f>
        <v>Processing Equipment</v>
      </c>
      <c r="D150" s="5" t="s">
        <v>579</v>
      </c>
      <c r="E150" s="6" t="s">
        <v>424</v>
      </c>
      <c r="F150" s="7">
        <v>45914</v>
      </c>
      <c r="G150" s="5">
        <v>14</v>
      </c>
      <c r="H150" s="10">
        <f>_xlfn.XLOOKUP(tblSales[[#This Row],[Product_id]],Products!A:A,Products!E:E)</f>
        <v>85000</v>
      </c>
      <c r="I150" s="10">
        <f>_xlfn.XLOOKUP(tblSales[[#This Row],[Product_id]],Products!A:A,Products!F:F)</f>
        <v>130000</v>
      </c>
      <c r="J150" s="10">
        <f>tblSales[[#This Row],[Quantity_sold]]*tblSales[[#This Row],[Unit_Price]]</f>
        <v>1820000</v>
      </c>
      <c r="K150" s="5" t="str">
        <f t="shared" ca="1" si="3"/>
        <v>Transfer</v>
      </c>
      <c r="L150" s="5" t="s">
        <v>651</v>
      </c>
      <c r="M150" s="5" t="s">
        <v>879</v>
      </c>
      <c r="N150" s="10">
        <f>tblSales[[#This Row],[Unit_Price]]*tblSales[[#This Row],[Quantity_sold]]-tblSales[[#This Row],[Cost_price]]*tblSales[[#This Row],[Quantity_sold]]</f>
        <v>630000</v>
      </c>
    </row>
    <row r="151" spans="1:14" x14ac:dyDescent="0.25">
      <c r="A151" s="5" t="s">
        <v>795</v>
      </c>
      <c r="B151" s="5" t="s">
        <v>96</v>
      </c>
      <c r="C151" t="str">
        <f>_xlfn.XLOOKUP(tblSales[[#This Row],[Product_id]],Products!A:A,Products!C:C)</f>
        <v>Industrial Equipment</v>
      </c>
      <c r="D151" s="5" t="s">
        <v>373</v>
      </c>
      <c r="E151" s="6" t="s">
        <v>374</v>
      </c>
      <c r="F151" s="7">
        <v>45910</v>
      </c>
      <c r="G151" s="5">
        <v>3</v>
      </c>
      <c r="H151" s="10">
        <f>_xlfn.XLOOKUP(tblSales[[#This Row],[Product_id]],Products!A:A,Products!E:E)</f>
        <v>320000</v>
      </c>
      <c r="I151" s="10">
        <f>_xlfn.XLOOKUP(tblSales[[#This Row],[Product_id]],Products!A:A,Products!F:F)</f>
        <v>450000</v>
      </c>
      <c r="J151" s="10">
        <f>tblSales[[#This Row],[Quantity_sold]]*tblSales[[#This Row],[Unit_Price]]</f>
        <v>1350000</v>
      </c>
      <c r="K151" s="5" t="str">
        <f t="shared" ca="1" si="3"/>
        <v>Cash</v>
      </c>
      <c r="L151" s="5" t="s">
        <v>646</v>
      </c>
      <c r="M151" s="5" t="s">
        <v>879</v>
      </c>
      <c r="N151" s="10">
        <f>tblSales[[#This Row],[Unit_Price]]*tblSales[[#This Row],[Quantity_sold]]-tblSales[[#This Row],[Cost_price]]*tblSales[[#This Row],[Quantity_sold]]</f>
        <v>390000</v>
      </c>
    </row>
    <row r="152" spans="1:14" x14ac:dyDescent="0.25">
      <c r="A152" s="5" t="s">
        <v>796</v>
      </c>
      <c r="B152" s="5" t="s">
        <v>54</v>
      </c>
      <c r="C152" t="str">
        <f>_xlfn.XLOOKUP(tblSales[[#This Row],[Product_id]],Products!A:A,Products!C:C)</f>
        <v>Processing Equipment</v>
      </c>
      <c r="D152" s="5" t="s">
        <v>261</v>
      </c>
      <c r="E152" s="6" t="s">
        <v>262</v>
      </c>
      <c r="F152" s="7">
        <v>45926</v>
      </c>
      <c r="G152" s="5">
        <v>6</v>
      </c>
      <c r="H152" s="10">
        <f>_xlfn.XLOOKUP(tblSales[[#This Row],[Product_id]],Products!A:A,Products!E:E)</f>
        <v>210000</v>
      </c>
      <c r="I152" s="10">
        <f>_xlfn.XLOOKUP(tblSales[[#This Row],[Product_id]],Products!A:A,Products!F:F)</f>
        <v>295000</v>
      </c>
      <c r="J152" s="10">
        <f>tblSales[[#This Row],[Quantity_sold]]*tblSales[[#This Row],[Unit_Price]]</f>
        <v>1770000</v>
      </c>
      <c r="K152" s="5" t="str">
        <f t="shared" ca="1" si="3"/>
        <v>Transfer</v>
      </c>
      <c r="L152" s="5" t="s">
        <v>252</v>
      </c>
      <c r="M152" s="5" t="s">
        <v>879</v>
      </c>
      <c r="N152" s="10">
        <f>tblSales[[#This Row],[Unit_Price]]*tblSales[[#This Row],[Quantity_sold]]-tblSales[[#This Row],[Cost_price]]*tblSales[[#This Row],[Quantity_sold]]</f>
        <v>510000</v>
      </c>
    </row>
    <row r="153" spans="1:14" x14ac:dyDescent="0.25">
      <c r="A153" s="5" t="s">
        <v>797</v>
      </c>
      <c r="B153" s="5" t="s">
        <v>41</v>
      </c>
      <c r="C153" t="str">
        <f>_xlfn.XLOOKUP(tblSales[[#This Row],[Product_id]],Products!A:A,Products!C:C)</f>
        <v>Safety Equipment</v>
      </c>
      <c r="D153" s="5" t="s">
        <v>291</v>
      </c>
      <c r="E153" s="6" t="s">
        <v>292</v>
      </c>
      <c r="F153" s="7">
        <v>45925</v>
      </c>
      <c r="G153" s="5">
        <v>19</v>
      </c>
      <c r="H153" s="10">
        <f>_xlfn.XLOOKUP(tblSales[[#This Row],[Product_id]],Products!A:A,Products!E:E)</f>
        <v>4500</v>
      </c>
      <c r="I153" s="10">
        <f>_xlfn.XLOOKUP(tblSales[[#This Row],[Product_id]],Products!A:A,Products!F:F)</f>
        <v>8500</v>
      </c>
      <c r="J153" s="10">
        <f>tblSales[[#This Row],[Quantity_sold]]*tblSales[[#This Row],[Unit_Price]]</f>
        <v>161500</v>
      </c>
      <c r="K153" s="5" t="str">
        <f t="shared" ca="1" si="3"/>
        <v>Cash</v>
      </c>
      <c r="L153" s="5" t="s">
        <v>646</v>
      </c>
      <c r="M153" s="5" t="s">
        <v>116</v>
      </c>
      <c r="N153" s="10">
        <f>tblSales[[#This Row],[Unit_Price]]*tblSales[[#This Row],[Quantity_sold]]-tblSales[[#This Row],[Cost_price]]*tblSales[[#This Row],[Quantity_sold]]</f>
        <v>76000</v>
      </c>
    </row>
    <row r="154" spans="1:14" x14ac:dyDescent="0.25">
      <c r="A154" s="5" t="s">
        <v>798</v>
      </c>
      <c r="B154" s="5" t="s">
        <v>110</v>
      </c>
      <c r="C154" t="str">
        <f>_xlfn.XLOOKUP(tblSales[[#This Row],[Product_id]],Products!A:A,Products!C:C)</f>
        <v>Storage Equipment</v>
      </c>
      <c r="D154" s="5" t="s">
        <v>595</v>
      </c>
      <c r="E154" s="6" t="s">
        <v>536</v>
      </c>
      <c r="F154" s="7">
        <v>45930</v>
      </c>
      <c r="G154" s="5">
        <v>13</v>
      </c>
      <c r="H154" s="10">
        <f>_xlfn.XLOOKUP(tblSales[[#This Row],[Product_id]],Products!A:A,Products!E:E)</f>
        <v>140000</v>
      </c>
      <c r="I154" s="10">
        <f>_xlfn.XLOOKUP(tblSales[[#This Row],[Product_id]],Products!A:A,Products!F:F)</f>
        <v>195000</v>
      </c>
      <c r="J154" s="10">
        <f>tblSales[[#This Row],[Quantity_sold]]*tblSales[[#This Row],[Unit_Price]]</f>
        <v>2535000</v>
      </c>
      <c r="K154" s="5" t="str">
        <f t="shared" ca="1" si="3"/>
        <v>POS</v>
      </c>
      <c r="L154" s="5" t="s">
        <v>252</v>
      </c>
      <c r="M154" s="5" t="s">
        <v>119</v>
      </c>
      <c r="N154" s="10">
        <f>tblSales[[#This Row],[Unit_Price]]*tblSales[[#This Row],[Quantity_sold]]-tblSales[[#This Row],[Cost_price]]*tblSales[[#This Row],[Quantity_sold]]</f>
        <v>715000</v>
      </c>
    </row>
    <row r="155" spans="1:14" x14ac:dyDescent="0.25">
      <c r="A155" s="5" t="s">
        <v>799</v>
      </c>
      <c r="B155" s="5" t="s">
        <v>85</v>
      </c>
      <c r="C155" t="str">
        <f>_xlfn.XLOOKUP(tblSales[[#This Row],[Product_id]],Products!A:A,Products!C:C)</f>
        <v>Industrial Equipment</v>
      </c>
      <c r="D155" s="5" t="s">
        <v>587</v>
      </c>
      <c r="E155" s="6" t="s">
        <v>528</v>
      </c>
      <c r="F155" s="7">
        <v>45954</v>
      </c>
      <c r="G155" s="5">
        <v>7</v>
      </c>
      <c r="H155" s="10">
        <f>_xlfn.XLOOKUP(tblSales[[#This Row],[Product_id]],Products!A:A,Products!E:E)</f>
        <v>42000</v>
      </c>
      <c r="I155" s="10">
        <f>_xlfn.XLOOKUP(tblSales[[#This Row],[Product_id]],Products!A:A,Products!F:F)</f>
        <v>68000</v>
      </c>
      <c r="J155" s="10">
        <f>tblSales[[#This Row],[Quantity_sold]]*tblSales[[#This Row],[Unit_Price]]</f>
        <v>476000</v>
      </c>
      <c r="K155" s="5" t="str">
        <f t="shared" ca="1" si="3"/>
        <v>Transfer</v>
      </c>
      <c r="L155" s="5" t="s">
        <v>651</v>
      </c>
      <c r="M155" s="5" t="s">
        <v>115</v>
      </c>
      <c r="N155" s="10">
        <f>tblSales[[#This Row],[Unit_Price]]*tblSales[[#This Row],[Quantity_sold]]-tblSales[[#This Row],[Cost_price]]*tblSales[[#This Row],[Quantity_sold]]</f>
        <v>182000</v>
      </c>
    </row>
    <row r="156" spans="1:14" x14ac:dyDescent="0.25">
      <c r="A156" s="5" t="s">
        <v>800</v>
      </c>
      <c r="B156" s="5" t="s">
        <v>21</v>
      </c>
      <c r="C156" t="str">
        <f>_xlfn.XLOOKUP(tblSales[[#This Row],[Product_id]],Products!A:A,Products!C:C)</f>
        <v>Agricultural Machine</v>
      </c>
      <c r="D156" s="5" t="s">
        <v>267</v>
      </c>
      <c r="E156" s="6" t="s">
        <v>268</v>
      </c>
      <c r="F156" s="7">
        <v>45954</v>
      </c>
      <c r="G156" s="5">
        <v>17</v>
      </c>
      <c r="H156" s="10">
        <f>_xlfn.XLOOKUP(tblSales[[#This Row],[Product_id]],Products!A:A,Products!E:E)</f>
        <v>225000</v>
      </c>
      <c r="I156" s="10">
        <f>_xlfn.XLOOKUP(tblSales[[#This Row],[Product_id]],Products!A:A,Products!F:F)</f>
        <v>310000</v>
      </c>
      <c r="J156" s="10">
        <f>tblSales[[#This Row],[Quantity_sold]]*tblSales[[#This Row],[Unit_Price]]</f>
        <v>5270000</v>
      </c>
      <c r="K156" s="5" t="str">
        <f t="shared" ca="1" si="3"/>
        <v>POS</v>
      </c>
      <c r="L156" s="5" t="s">
        <v>256</v>
      </c>
      <c r="M156" s="5" t="s">
        <v>114</v>
      </c>
      <c r="N156" s="10">
        <f>tblSales[[#This Row],[Unit_Price]]*tblSales[[#This Row],[Quantity_sold]]-tblSales[[#This Row],[Cost_price]]*tblSales[[#This Row],[Quantity_sold]]</f>
        <v>1445000</v>
      </c>
    </row>
    <row r="157" spans="1:14" x14ac:dyDescent="0.25">
      <c r="A157" s="5" t="s">
        <v>801</v>
      </c>
      <c r="B157" s="5" t="s">
        <v>41</v>
      </c>
      <c r="C157" t="str">
        <f>_xlfn.XLOOKUP(tblSales[[#This Row],[Product_id]],Products!A:A,Products!C:C)</f>
        <v>Safety Equipment</v>
      </c>
      <c r="D157" s="5" t="s">
        <v>351</v>
      </c>
      <c r="E157" s="6" t="s">
        <v>352</v>
      </c>
      <c r="F157" s="7">
        <v>45934</v>
      </c>
      <c r="G157" s="5">
        <v>7</v>
      </c>
      <c r="H157" s="10">
        <f>_xlfn.XLOOKUP(tblSales[[#This Row],[Product_id]],Products!A:A,Products!E:E)</f>
        <v>4500</v>
      </c>
      <c r="I157" s="10">
        <f>_xlfn.XLOOKUP(tblSales[[#This Row],[Product_id]],Products!A:A,Products!F:F)</f>
        <v>8500</v>
      </c>
      <c r="J157" s="10">
        <f>tblSales[[#This Row],[Quantity_sold]]*tblSales[[#This Row],[Unit_Price]]</f>
        <v>59500</v>
      </c>
      <c r="K157" s="5" t="str">
        <f t="shared" ca="1" si="3"/>
        <v>POS</v>
      </c>
      <c r="L157" s="5" t="s">
        <v>648</v>
      </c>
      <c r="M157" s="5" t="s">
        <v>116</v>
      </c>
      <c r="N157" s="10">
        <f>tblSales[[#This Row],[Unit_Price]]*tblSales[[#This Row],[Quantity_sold]]-tblSales[[#This Row],[Cost_price]]*tblSales[[#This Row],[Quantity_sold]]</f>
        <v>28000</v>
      </c>
    </row>
    <row r="158" spans="1:14" x14ac:dyDescent="0.25">
      <c r="A158" s="5" t="s">
        <v>802</v>
      </c>
      <c r="B158" s="5" t="s">
        <v>80</v>
      </c>
      <c r="C158" t="str">
        <f>_xlfn.XLOOKUP(tblSales[[#This Row],[Product_id]],Products!A:A,Products!C:C)</f>
        <v>Agricultural Equipment</v>
      </c>
      <c r="D158" s="5" t="s">
        <v>595</v>
      </c>
      <c r="E158" s="6" t="s">
        <v>536</v>
      </c>
      <c r="F158" s="7">
        <v>45940</v>
      </c>
      <c r="G158" s="5">
        <v>4</v>
      </c>
      <c r="H158" s="10">
        <f>_xlfn.XLOOKUP(tblSales[[#This Row],[Product_id]],Products!A:A,Products!E:E)</f>
        <v>88000</v>
      </c>
      <c r="I158" s="10">
        <f>_xlfn.XLOOKUP(tblSales[[#This Row],[Product_id]],Products!A:A,Products!F:F)</f>
        <v>130000</v>
      </c>
      <c r="J158" s="10">
        <f>tblSales[[#This Row],[Quantity_sold]]*tblSales[[#This Row],[Unit_Price]]</f>
        <v>520000</v>
      </c>
      <c r="K158" s="5" t="str">
        <f t="shared" ca="1" si="3"/>
        <v>POS</v>
      </c>
      <c r="L158" s="5" t="s">
        <v>252</v>
      </c>
      <c r="M158" s="5" t="s">
        <v>115</v>
      </c>
      <c r="N158" s="10">
        <f>tblSales[[#This Row],[Unit_Price]]*tblSales[[#This Row],[Quantity_sold]]-tblSales[[#This Row],[Cost_price]]*tblSales[[#This Row],[Quantity_sold]]</f>
        <v>168000</v>
      </c>
    </row>
    <row r="159" spans="1:14" x14ac:dyDescent="0.25">
      <c r="A159" s="5" t="s">
        <v>803</v>
      </c>
      <c r="B159" s="5" t="s">
        <v>31</v>
      </c>
      <c r="C159" t="str">
        <f>_xlfn.XLOOKUP(tblSales[[#This Row],[Product_id]],Products!A:A,Products!C:C)</f>
        <v>Storage Equipment</v>
      </c>
      <c r="D159" s="5" t="s">
        <v>281</v>
      </c>
      <c r="E159" s="6" t="s">
        <v>282</v>
      </c>
      <c r="F159" s="7">
        <v>45951</v>
      </c>
      <c r="G159" s="5">
        <v>12</v>
      </c>
      <c r="H159" s="10">
        <f>_xlfn.XLOOKUP(tblSales[[#This Row],[Product_id]],Products!A:A,Products!E:E)</f>
        <v>510000</v>
      </c>
      <c r="I159" s="10">
        <f>_xlfn.XLOOKUP(tblSales[[#This Row],[Product_id]],Products!A:A,Products!F:F)</f>
        <v>690000</v>
      </c>
      <c r="J159" s="10">
        <f>tblSales[[#This Row],[Quantity_sold]]*tblSales[[#This Row],[Unit_Price]]</f>
        <v>8280000</v>
      </c>
      <c r="K159" s="5" t="str">
        <f t="shared" ca="1" si="3"/>
        <v>POS</v>
      </c>
      <c r="L159" s="5" t="s">
        <v>646</v>
      </c>
      <c r="M159" s="5" t="s">
        <v>115</v>
      </c>
      <c r="N159" s="10">
        <f>tblSales[[#This Row],[Unit_Price]]*tblSales[[#This Row],[Quantity_sold]]-tblSales[[#This Row],[Cost_price]]*tblSales[[#This Row],[Quantity_sold]]</f>
        <v>2160000</v>
      </c>
    </row>
    <row r="160" spans="1:14" x14ac:dyDescent="0.25">
      <c r="A160" s="5" t="s">
        <v>804</v>
      </c>
      <c r="B160" s="5" t="s">
        <v>41</v>
      </c>
      <c r="C160" t="str">
        <f>_xlfn.XLOOKUP(tblSales[[#This Row],[Product_id]],Products!A:A,Products!C:C)</f>
        <v>Safety Equipment</v>
      </c>
      <c r="D160" s="5" t="s">
        <v>611</v>
      </c>
      <c r="E160" s="6" t="s">
        <v>552</v>
      </c>
      <c r="F160" s="7">
        <v>45951</v>
      </c>
      <c r="G160" s="5">
        <v>19</v>
      </c>
      <c r="H160" s="10">
        <f>_xlfn.XLOOKUP(tblSales[[#This Row],[Product_id]],Products!A:A,Products!E:E)</f>
        <v>4500</v>
      </c>
      <c r="I160" s="10">
        <f>_xlfn.XLOOKUP(tblSales[[#This Row],[Product_id]],Products!A:A,Products!F:F)</f>
        <v>8500</v>
      </c>
      <c r="J160" s="10">
        <f>tblSales[[#This Row],[Quantity_sold]]*tblSales[[#This Row],[Unit_Price]]</f>
        <v>161500</v>
      </c>
      <c r="K160" s="5" t="str">
        <f t="shared" ca="1" si="3"/>
        <v>Transfer</v>
      </c>
      <c r="L160" s="5" t="s">
        <v>648</v>
      </c>
      <c r="M160" s="5" t="s">
        <v>117</v>
      </c>
      <c r="N160" s="10">
        <f>tblSales[[#This Row],[Unit_Price]]*tblSales[[#This Row],[Quantity_sold]]-tblSales[[#This Row],[Cost_price]]*tblSales[[#This Row],[Quantity_sold]]</f>
        <v>76000</v>
      </c>
    </row>
    <row r="161" spans="1:14" x14ac:dyDescent="0.25">
      <c r="A161" s="5" t="s">
        <v>805</v>
      </c>
      <c r="B161" s="5" t="s">
        <v>37</v>
      </c>
      <c r="C161" t="str">
        <f>_xlfn.XLOOKUP(tblSales[[#This Row],[Product_id]],Products!A:A,Products!C:C)</f>
        <v>Industrial Equipment</v>
      </c>
      <c r="D161" s="5" t="s">
        <v>595</v>
      </c>
      <c r="E161" s="6" t="s">
        <v>536</v>
      </c>
      <c r="F161" s="7">
        <v>45944</v>
      </c>
      <c r="G161" s="5">
        <v>5</v>
      </c>
      <c r="H161" s="10">
        <f>_xlfn.XLOOKUP(tblSales[[#This Row],[Product_id]],Products!A:A,Products!E:E)</f>
        <v>185000</v>
      </c>
      <c r="I161" s="10">
        <f>_xlfn.XLOOKUP(tblSales[[#This Row],[Product_id]],Products!A:A,Products!F:F)</f>
        <v>255000</v>
      </c>
      <c r="J161" s="10">
        <f>tblSales[[#This Row],[Quantity_sold]]*tblSales[[#This Row],[Unit_Price]]</f>
        <v>1275000</v>
      </c>
      <c r="K161" s="5" t="str">
        <f t="shared" ca="1" si="3"/>
        <v>POS</v>
      </c>
      <c r="L161" s="5" t="s">
        <v>270</v>
      </c>
      <c r="M161" s="5" t="s">
        <v>879</v>
      </c>
      <c r="N161" s="10">
        <f>tblSales[[#This Row],[Unit_Price]]*tblSales[[#This Row],[Quantity_sold]]-tblSales[[#This Row],[Cost_price]]*tblSales[[#This Row],[Quantity_sold]]</f>
        <v>350000</v>
      </c>
    </row>
    <row r="162" spans="1:14" x14ac:dyDescent="0.25">
      <c r="A162" s="5" t="s">
        <v>806</v>
      </c>
      <c r="B162" s="5" t="s">
        <v>85</v>
      </c>
      <c r="C162" t="str">
        <f>_xlfn.XLOOKUP(tblSales[[#This Row],[Product_id]],Products!A:A,Products!C:C)</f>
        <v>Industrial Equipment</v>
      </c>
      <c r="D162" s="5" t="s">
        <v>595</v>
      </c>
      <c r="E162" s="6" t="s">
        <v>536</v>
      </c>
      <c r="F162" s="7">
        <v>45952</v>
      </c>
      <c r="G162" s="5">
        <v>20</v>
      </c>
      <c r="H162" s="10">
        <f>_xlfn.XLOOKUP(tblSales[[#This Row],[Product_id]],Products!A:A,Products!E:E)</f>
        <v>42000</v>
      </c>
      <c r="I162" s="10">
        <f>_xlfn.XLOOKUP(tblSales[[#This Row],[Product_id]],Products!A:A,Products!F:F)</f>
        <v>68000</v>
      </c>
      <c r="J162" s="10">
        <f>tblSales[[#This Row],[Quantity_sold]]*tblSales[[#This Row],[Unit_Price]]</f>
        <v>1360000</v>
      </c>
      <c r="K162" s="5" t="str">
        <f t="shared" ca="1" si="3"/>
        <v>Transfer</v>
      </c>
      <c r="L162" s="5" t="s">
        <v>252</v>
      </c>
      <c r="M162" s="5" t="s">
        <v>879</v>
      </c>
      <c r="N162" s="10">
        <f>tblSales[[#This Row],[Unit_Price]]*tblSales[[#This Row],[Quantity_sold]]-tblSales[[#This Row],[Cost_price]]*tblSales[[#This Row],[Quantity_sold]]</f>
        <v>520000</v>
      </c>
    </row>
    <row r="163" spans="1:14" x14ac:dyDescent="0.25">
      <c r="A163" s="5" t="s">
        <v>807</v>
      </c>
      <c r="B163" s="5" t="s">
        <v>26</v>
      </c>
      <c r="C163" t="str">
        <f>_xlfn.XLOOKUP(tblSales[[#This Row],[Product_id]],Products!A:A,Products!C:C)</f>
        <v>Storage Equipment</v>
      </c>
      <c r="D163" s="5" t="s">
        <v>445</v>
      </c>
      <c r="E163" s="6" t="s">
        <v>254</v>
      </c>
      <c r="F163" s="7">
        <v>45950</v>
      </c>
      <c r="G163" s="5">
        <v>1</v>
      </c>
      <c r="H163" s="10">
        <f>_xlfn.XLOOKUP(tblSales[[#This Row],[Product_id]],Products!A:A,Products!E:E)</f>
        <v>450000</v>
      </c>
      <c r="I163" s="10">
        <f>_xlfn.XLOOKUP(tblSales[[#This Row],[Product_id]],Products!A:A,Products!F:F)</f>
        <v>610000</v>
      </c>
      <c r="J163" s="10">
        <f>tblSales[[#This Row],[Quantity_sold]]*tblSales[[#This Row],[Unit_Price]]</f>
        <v>610000</v>
      </c>
      <c r="K163" s="5" t="str">
        <f t="shared" ca="1" si="3"/>
        <v>Cash</v>
      </c>
      <c r="L163" s="5" t="s">
        <v>252</v>
      </c>
      <c r="M163" s="5" t="s">
        <v>114</v>
      </c>
      <c r="N163" s="10">
        <f>tblSales[[#This Row],[Unit_Price]]*tblSales[[#This Row],[Quantity_sold]]-tblSales[[#This Row],[Cost_price]]*tblSales[[#This Row],[Quantity_sold]]</f>
        <v>160000</v>
      </c>
    </row>
    <row r="164" spans="1:14" x14ac:dyDescent="0.25">
      <c r="A164" s="5" t="s">
        <v>808</v>
      </c>
      <c r="B164" s="5" t="s">
        <v>72</v>
      </c>
      <c r="C164" t="str">
        <f>_xlfn.XLOOKUP(tblSales[[#This Row],[Product_id]],Products!A:A,Products!C:C)</f>
        <v>Energy Equipment</v>
      </c>
      <c r="D164" s="5" t="s">
        <v>319</v>
      </c>
      <c r="E164" s="6" t="s">
        <v>320</v>
      </c>
      <c r="F164" s="7">
        <v>45961</v>
      </c>
      <c r="G164" s="5">
        <v>5</v>
      </c>
      <c r="H164" s="10">
        <f>_xlfn.XLOOKUP(tblSales[[#This Row],[Product_id]],Products!A:A,Products!E:E)</f>
        <v>480000</v>
      </c>
      <c r="I164" s="10">
        <f>_xlfn.XLOOKUP(tblSales[[#This Row],[Product_id]],Products!A:A,Products!F:F)</f>
        <v>650000</v>
      </c>
      <c r="J164" s="10">
        <f>tblSales[[#This Row],[Quantity_sold]]*tblSales[[#This Row],[Unit_Price]]</f>
        <v>3250000</v>
      </c>
      <c r="K164" s="5" t="str">
        <f t="shared" ca="1" si="3"/>
        <v>POS</v>
      </c>
      <c r="L164" s="5" t="s">
        <v>270</v>
      </c>
      <c r="M164" s="5" t="s">
        <v>879</v>
      </c>
      <c r="N164" s="10">
        <f>tblSales[[#This Row],[Unit_Price]]*tblSales[[#This Row],[Quantity_sold]]-tblSales[[#This Row],[Cost_price]]*tblSales[[#This Row],[Quantity_sold]]</f>
        <v>850000</v>
      </c>
    </row>
    <row r="165" spans="1:14" x14ac:dyDescent="0.25">
      <c r="A165" s="5" t="s">
        <v>809</v>
      </c>
      <c r="B165" s="5" t="s">
        <v>16</v>
      </c>
      <c r="C165" t="str">
        <f>_xlfn.XLOOKUP(tblSales[[#This Row],[Product_id]],Products!A:A,Products!C:C)</f>
        <v>Processing Equipment</v>
      </c>
      <c r="D165" s="5" t="s">
        <v>499</v>
      </c>
      <c r="E165" s="6" t="s">
        <v>362</v>
      </c>
      <c r="F165" s="7">
        <v>45938</v>
      </c>
      <c r="G165" s="5">
        <v>10</v>
      </c>
      <c r="H165" s="10">
        <f>_xlfn.XLOOKUP(tblSales[[#This Row],[Product_id]],Products!A:A,Products!E:E)</f>
        <v>310000</v>
      </c>
      <c r="I165" s="10">
        <f>_xlfn.XLOOKUP(tblSales[[#This Row],[Product_id]],Products!A:A,Products!F:F)</f>
        <v>420000</v>
      </c>
      <c r="J165" s="10">
        <f>tblSales[[#This Row],[Quantity_sold]]*tblSales[[#This Row],[Unit_Price]]</f>
        <v>4200000</v>
      </c>
      <c r="K165" s="5" t="str">
        <f t="shared" ca="1" si="3"/>
        <v>POS</v>
      </c>
      <c r="L165" s="5" t="s">
        <v>651</v>
      </c>
      <c r="M165" s="5" t="s">
        <v>117</v>
      </c>
      <c r="N165" s="10">
        <f>tblSales[[#This Row],[Unit_Price]]*tblSales[[#This Row],[Quantity_sold]]-tblSales[[#This Row],[Cost_price]]*tblSales[[#This Row],[Quantity_sold]]</f>
        <v>1100000</v>
      </c>
    </row>
    <row r="166" spans="1:14" x14ac:dyDescent="0.25">
      <c r="A166" s="5" t="s">
        <v>810</v>
      </c>
      <c r="B166" s="5" t="s">
        <v>87</v>
      </c>
      <c r="C166" t="str">
        <f>_xlfn.XLOOKUP(tblSales[[#This Row],[Product_id]],Products!A:A,Products!C:C)</f>
        <v>Fabrication Tools</v>
      </c>
      <c r="D166" s="5" t="s">
        <v>631</v>
      </c>
      <c r="E166" s="6" t="s">
        <v>572</v>
      </c>
      <c r="F166" s="7">
        <v>45939</v>
      </c>
      <c r="G166" s="5">
        <v>14</v>
      </c>
      <c r="H166" s="10">
        <f>_xlfn.XLOOKUP(tblSales[[#This Row],[Product_id]],Products!A:A,Products!E:E)</f>
        <v>22000</v>
      </c>
      <c r="I166" s="10">
        <f>_xlfn.XLOOKUP(tblSales[[#This Row],[Product_id]],Products!A:A,Products!F:F)</f>
        <v>36000</v>
      </c>
      <c r="J166" s="10">
        <f>tblSales[[#This Row],[Quantity_sold]]*tblSales[[#This Row],[Unit_Price]]</f>
        <v>504000</v>
      </c>
      <c r="K166" s="5" t="str">
        <f t="shared" ca="1" si="3"/>
        <v>Transfer</v>
      </c>
      <c r="L166" s="5" t="s">
        <v>646</v>
      </c>
      <c r="M166" s="5" t="s">
        <v>117</v>
      </c>
      <c r="N166" s="10">
        <f>tblSales[[#This Row],[Unit_Price]]*tblSales[[#This Row],[Quantity_sold]]-tblSales[[#This Row],[Cost_price]]*tblSales[[#This Row],[Quantity_sold]]</f>
        <v>196000</v>
      </c>
    </row>
    <row r="167" spans="1:14" x14ac:dyDescent="0.25">
      <c r="A167" s="5" t="s">
        <v>811</v>
      </c>
      <c r="B167" s="5" t="s">
        <v>92</v>
      </c>
      <c r="C167" t="str">
        <f>_xlfn.XLOOKUP(tblSales[[#This Row],[Product_id]],Products!A:A,Products!C:C)</f>
        <v>Agricultural Machine</v>
      </c>
      <c r="D167" s="5" t="s">
        <v>578</v>
      </c>
      <c r="E167" s="6" t="s">
        <v>422</v>
      </c>
      <c r="F167" s="7">
        <v>45949</v>
      </c>
      <c r="G167" s="5">
        <v>1</v>
      </c>
      <c r="H167" s="10">
        <f>_xlfn.XLOOKUP(tblSales[[#This Row],[Product_id]],Products!A:A,Products!E:E)</f>
        <v>165000</v>
      </c>
      <c r="I167" s="10">
        <f>_xlfn.XLOOKUP(tblSales[[#This Row],[Product_id]],Products!A:A,Products!F:F)</f>
        <v>235000</v>
      </c>
      <c r="J167" s="10">
        <f>tblSales[[#This Row],[Quantity_sold]]*tblSales[[#This Row],[Unit_Price]]</f>
        <v>235000</v>
      </c>
      <c r="K167" s="5" t="str">
        <f t="shared" ca="1" si="3"/>
        <v>Transfer</v>
      </c>
      <c r="L167" s="5" t="s">
        <v>648</v>
      </c>
      <c r="M167" s="5" t="s">
        <v>119</v>
      </c>
      <c r="N167" s="10">
        <f>tblSales[[#This Row],[Unit_Price]]*tblSales[[#This Row],[Quantity_sold]]-tblSales[[#This Row],[Cost_price]]*tblSales[[#This Row],[Quantity_sold]]</f>
        <v>70000</v>
      </c>
    </row>
    <row r="168" spans="1:14" x14ac:dyDescent="0.25">
      <c r="A168" s="5" t="s">
        <v>812</v>
      </c>
      <c r="B168" s="5" t="s">
        <v>51</v>
      </c>
      <c r="C168" t="str">
        <f>_xlfn.XLOOKUP(tblSales[[#This Row],[Product_id]],Products!A:A,Products!C:C)</f>
        <v>Agricultural Equipment</v>
      </c>
      <c r="D168" s="5" t="s">
        <v>592</v>
      </c>
      <c r="E168" s="6" t="s">
        <v>533</v>
      </c>
      <c r="F168" s="7">
        <v>45942</v>
      </c>
      <c r="G168" s="5">
        <v>10</v>
      </c>
      <c r="H168" s="10">
        <f>_xlfn.XLOOKUP(tblSales[[#This Row],[Product_id]],Products!A:A,Products!E:E)</f>
        <v>42000</v>
      </c>
      <c r="I168" s="10">
        <f>_xlfn.XLOOKUP(tblSales[[#This Row],[Product_id]],Products!A:A,Products!F:F)</f>
        <v>65000</v>
      </c>
      <c r="J168" s="10">
        <f>tblSales[[#This Row],[Quantity_sold]]*tblSales[[#This Row],[Unit_Price]]</f>
        <v>650000</v>
      </c>
      <c r="K168" s="5" t="str">
        <f t="shared" ca="1" si="3"/>
        <v>Cash</v>
      </c>
      <c r="L168" s="5" t="s">
        <v>648</v>
      </c>
      <c r="M168" s="5" t="s">
        <v>114</v>
      </c>
      <c r="N168" s="10">
        <f>tblSales[[#This Row],[Unit_Price]]*tblSales[[#This Row],[Quantity_sold]]-tblSales[[#This Row],[Cost_price]]*tblSales[[#This Row],[Quantity_sold]]</f>
        <v>230000</v>
      </c>
    </row>
    <row r="169" spans="1:14" x14ac:dyDescent="0.25">
      <c r="A169" s="5" t="s">
        <v>813</v>
      </c>
      <c r="B169" s="5" t="s">
        <v>61</v>
      </c>
      <c r="C169" t="str">
        <f>_xlfn.XLOOKUP(tblSales[[#This Row],[Product_id]],Products!A:A,Products!C:C)</f>
        <v>Processing Equipment</v>
      </c>
      <c r="D169" s="5" t="s">
        <v>317</v>
      </c>
      <c r="E169" s="6" t="s">
        <v>318</v>
      </c>
      <c r="F169" s="7">
        <v>45948</v>
      </c>
      <c r="G169" s="5">
        <v>7</v>
      </c>
      <c r="H169" s="10">
        <f>_xlfn.XLOOKUP(tblSales[[#This Row],[Product_id]],Products!A:A,Products!E:E)</f>
        <v>295000</v>
      </c>
      <c r="I169" s="10">
        <f>_xlfn.XLOOKUP(tblSales[[#This Row],[Product_id]],Products!A:A,Products!F:F)</f>
        <v>410000</v>
      </c>
      <c r="J169" s="10">
        <f>tblSales[[#This Row],[Quantity_sold]]*tblSales[[#This Row],[Unit_Price]]</f>
        <v>2870000</v>
      </c>
      <c r="K169" s="5" t="str">
        <f t="shared" ca="1" si="3"/>
        <v>POS</v>
      </c>
      <c r="L169" s="5" t="s">
        <v>646</v>
      </c>
      <c r="M169" s="5" t="s">
        <v>879</v>
      </c>
      <c r="N169" s="10">
        <f>tblSales[[#This Row],[Unit_Price]]*tblSales[[#This Row],[Quantity_sold]]-tblSales[[#This Row],[Cost_price]]*tblSales[[#This Row],[Quantity_sold]]</f>
        <v>805000</v>
      </c>
    </row>
    <row r="170" spans="1:14" x14ac:dyDescent="0.25">
      <c r="A170" s="5" t="s">
        <v>814</v>
      </c>
      <c r="B170" s="5" t="s">
        <v>102</v>
      </c>
      <c r="C170" t="str">
        <f>_xlfn.XLOOKUP(tblSales[[#This Row],[Product_id]],Products!A:A,Products!C:C)</f>
        <v>Harvesting Equipment</v>
      </c>
      <c r="D170" s="5" t="s">
        <v>267</v>
      </c>
      <c r="E170" s="6" t="s">
        <v>268</v>
      </c>
      <c r="F170" s="7">
        <v>45932</v>
      </c>
      <c r="G170" s="5">
        <v>14</v>
      </c>
      <c r="H170" s="10">
        <f>_xlfn.XLOOKUP(tblSales[[#This Row],[Product_id]],Products!A:A,Products!E:E)</f>
        <v>180000</v>
      </c>
      <c r="I170" s="10">
        <f>_xlfn.XLOOKUP(tblSales[[#This Row],[Product_id]],Products!A:A,Products!F:F)</f>
        <v>250000</v>
      </c>
      <c r="J170" s="10">
        <f>tblSales[[#This Row],[Quantity_sold]]*tblSales[[#This Row],[Unit_Price]]</f>
        <v>3500000</v>
      </c>
      <c r="K170" s="5" t="str">
        <f t="shared" ca="1" si="3"/>
        <v>Cash</v>
      </c>
      <c r="L170" s="5" t="s">
        <v>270</v>
      </c>
      <c r="M170" s="5" t="s">
        <v>879</v>
      </c>
      <c r="N170" s="10">
        <f>tblSales[[#This Row],[Unit_Price]]*tblSales[[#This Row],[Quantity_sold]]-tblSales[[#This Row],[Cost_price]]*tblSales[[#This Row],[Quantity_sold]]</f>
        <v>980000</v>
      </c>
    </row>
    <row r="171" spans="1:14" x14ac:dyDescent="0.25">
      <c r="A171" s="5" t="s">
        <v>815</v>
      </c>
      <c r="B171" s="5" t="s">
        <v>100</v>
      </c>
      <c r="C171" t="str">
        <f>_xlfn.XLOOKUP(tblSales[[#This Row],[Product_id]],Products!A:A,Products!C:C)</f>
        <v>Agricultural Equipment</v>
      </c>
      <c r="D171" s="5" t="s">
        <v>345</v>
      </c>
      <c r="E171" s="6" t="s">
        <v>346</v>
      </c>
      <c r="F171" s="7">
        <v>45947</v>
      </c>
      <c r="G171" s="5">
        <v>10</v>
      </c>
      <c r="H171" s="10">
        <f>_xlfn.XLOOKUP(tblSales[[#This Row],[Product_id]],Products!A:A,Products!E:E)</f>
        <v>42000</v>
      </c>
      <c r="I171" s="10">
        <f>_xlfn.XLOOKUP(tblSales[[#This Row],[Product_id]],Products!A:A,Products!F:F)</f>
        <v>68000</v>
      </c>
      <c r="J171" s="10">
        <f>tblSales[[#This Row],[Quantity_sold]]*tblSales[[#This Row],[Unit_Price]]</f>
        <v>680000</v>
      </c>
      <c r="K171" s="5" t="str">
        <f t="shared" ca="1" si="3"/>
        <v>Transfer</v>
      </c>
      <c r="L171" s="5" t="s">
        <v>648</v>
      </c>
      <c r="M171" s="5" t="s">
        <v>115</v>
      </c>
      <c r="N171" s="10">
        <f>tblSales[[#This Row],[Unit_Price]]*tblSales[[#This Row],[Quantity_sold]]-tblSales[[#This Row],[Cost_price]]*tblSales[[#This Row],[Quantity_sold]]</f>
        <v>260000</v>
      </c>
    </row>
    <row r="172" spans="1:14" x14ac:dyDescent="0.25">
      <c r="A172" s="5" t="s">
        <v>816</v>
      </c>
      <c r="B172" s="5" t="s">
        <v>83</v>
      </c>
      <c r="C172" t="str">
        <f>_xlfn.XLOOKUP(tblSales[[#This Row],[Product_id]],Products!A:A,Products!C:C)</f>
        <v>Fabrication Tools</v>
      </c>
      <c r="D172" s="5" t="s">
        <v>357</v>
      </c>
      <c r="E172" s="6" t="s">
        <v>358</v>
      </c>
      <c r="F172" s="7">
        <v>45991</v>
      </c>
      <c r="G172" s="5">
        <v>10</v>
      </c>
      <c r="H172" s="10">
        <f>_xlfn.XLOOKUP(tblSales[[#This Row],[Product_id]],Products!A:A,Products!E:E)</f>
        <v>28000</v>
      </c>
      <c r="I172" s="10">
        <f>_xlfn.XLOOKUP(tblSales[[#This Row],[Product_id]],Products!A:A,Products!F:F)</f>
        <v>45000</v>
      </c>
      <c r="J172" s="10">
        <f>tblSales[[#This Row],[Quantity_sold]]*tblSales[[#This Row],[Unit_Price]]</f>
        <v>450000</v>
      </c>
      <c r="K172" s="5" t="str">
        <f t="shared" ca="1" si="3"/>
        <v>POS</v>
      </c>
      <c r="L172" s="5" t="s">
        <v>646</v>
      </c>
      <c r="M172" s="5" t="s">
        <v>119</v>
      </c>
      <c r="N172" s="10">
        <f>tblSales[[#This Row],[Unit_Price]]*tblSales[[#This Row],[Quantity_sold]]-tblSales[[#This Row],[Cost_price]]*tblSales[[#This Row],[Quantity_sold]]</f>
        <v>170000</v>
      </c>
    </row>
    <row r="173" spans="1:14" x14ac:dyDescent="0.25">
      <c r="A173" s="5" t="s">
        <v>817</v>
      </c>
      <c r="B173" s="5" t="s">
        <v>105</v>
      </c>
      <c r="C173" t="str">
        <f>_xlfn.XLOOKUP(tblSales[[#This Row],[Product_id]],Products!A:A,Products!C:C)</f>
        <v>Agricultural Equipment</v>
      </c>
      <c r="D173" s="5" t="s">
        <v>417</v>
      </c>
      <c r="E173" s="6" t="s">
        <v>418</v>
      </c>
      <c r="F173" s="7">
        <v>45987</v>
      </c>
      <c r="G173" s="5">
        <v>8</v>
      </c>
      <c r="H173" s="10">
        <f>_xlfn.XLOOKUP(tblSales[[#This Row],[Product_id]],Products!A:A,Products!E:E)</f>
        <v>45000</v>
      </c>
      <c r="I173" s="10">
        <f>_xlfn.XLOOKUP(tblSales[[#This Row],[Product_id]],Products!A:A,Products!F:F)</f>
        <v>70000</v>
      </c>
      <c r="J173" s="10">
        <f>tblSales[[#This Row],[Quantity_sold]]*tblSales[[#This Row],[Unit_Price]]</f>
        <v>560000</v>
      </c>
      <c r="K173" s="5" t="str">
        <f t="shared" ca="1" si="3"/>
        <v>POS</v>
      </c>
      <c r="L173" s="5" t="s">
        <v>256</v>
      </c>
      <c r="M173" s="5" t="s">
        <v>114</v>
      </c>
      <c r="N173" s="10">
        <f>tblSales[[#This Row],[Unit_Price]]*tblSales[[#This Row],[Quantity_sold]]-tblSales[[#This Row],[Cost_price]]*tblSales[[#This Row],[Quantity_sold]]</f>
        <v>200000</v>
      </c>
    </row>
    <row r="174" spans="1:14" x14ac:dyDescent="0.25">
      <c r="A174" s="5" t="s">
        <v>818</v>
      </c>
      <c r="B174" s="5" t="s">
        <v>15</v>
      </c>
      <c r="C174" t="str">
        <f>_xlfn.XLOOKUP(tblSales[[#This Row],[Product_id]],Products!A:A,Products!C:C)</f>
        <v>Agricultural Equipment</v>
      </c>
      <c r="D174" s="5" t="s">
        <v>581</v>
      </c>
      <c r="E174" s="6" t="s">
        <v>428</v>
      </c>
      <c r="F174" s="7">
        <v>45981</v>
      </c>
      <c r="G174" s="5">
        <v>7</v>
      </c>
      <c r="H174" s="10">
        <f>_xlfn.XLOOKUP(tblSales[[#This Row],[Product_id]],Products!A:A,Products!E:E)</f>
        <v>135000</v>
      </c>
      <c r="I174" s="10">
        <f>_xlfn.XLOOKUP(tblSales[[#This Row],[Product_id]],Products!A:A,Products!F:F)</f>
        <v>185000</v>
      </c>
      <c r="J174" s="10">
        <f>tblSales[[#This Row],[Quantity_sold]]*tblSales[[#This Row],[Unit_Price]]</f>
        <v>1295000</v>
      </c>
      <c r="K174" s="5" t="str">
        <f t="shared" ca="1" si="3"/>
        <v>POS</v>
      </c>
      <c r="L174" s="5" t="s">
        <v>256</v>
      </c>
      <c r="M174" s="5" t="s">
        <v>115</v>
      </c>
      <c r="N174" s="10">
        <f>tblSales[[#This Row],[Unit_Price]]*tblSales[[#This Row],[Quantity_sold]]-tblSales[[#This Row],[Cost_price]]*tblSales[[#This Row],[Quantity_sold]]</f>
        <v>350000</v>
      </c>
    </row>
    <row r="175" spans="1:14" x14ac:dyDescent="0.25">
      <c r="A175" s="5" t="s">
        <v>819</v>
      </c>
      <c r="B175" s="5" t="s">
        <v>39</v>
      </c>
      <c r="C175" t="str">
        <f>_xlfn.XLOOKUP(tblSales[[#This Row],[Product_id]],Products!A:A,Products!C:C)</f>
        <v>Fabrication Tools</v>
      </c>
      <c r="D175" s="5" t="s">
        <v>522</v>
      </c>
      <c r="E175" s="6" t="s">
        <v>408</v>
      </c>
      <c r="F175" s="7">
        <v>45963</v>
      </c>
      <c r="G175" s="5">
        <v>20</v>
      </c>
      <c r="H175" s="10">
        <f>_xlfn.XLOOKUP(tblSales[[#This Row],[Product_id]],Products!A:A,Products!E:E)</f>
        <v>88000</v>
      </c>
      <c r="I175" s="10">
        <f>_xlfn.XLOOKUP(tblSales[[#This Row],[Product_id]],Products!A:A,Products!F:F)</f>
        <v>125000</v>
      </c>
      <c r="J175" s="10">
        <f>tblSales[[#This Row],[Quantity_sold]]*tblSales[[#This Row],[Unit_Price]]</f>
        <v>2500000</v>
      </c>
      <c r="K175" s="5" t="str">
        <f t="shared" ca="1" si="3"/>
        <v>POS</v>
      </c>
      <c r="L175" s="5" t="s">
        <v>252</v>
      </c>
      <c r="M175" s="5" t="s">
        <v>116</v>
      </c>
      <c r="N175" s="10">
        <f>tblSales[[#This Row],[Unit_Price]]*tblSales[[#This Row],[Quantity_sold]]-tblSales[[#This Row],[Cost_price]]*tblSales[[#This Row],[Quantity_sold]]</f>
        <v>740000</v>
      </c>
    </row>
    <row r="176" spans="1:14" x14ac:dyDescent="0.25">
      <c r="A176" s="5" t="s">
        <v>820</v>
      </c>
      <c r="B176" s="5" t="s">
        <v>70</v>
      </c>
      <c r="C176" t="str">
        <f>_xlfn.XLOOKUP(tblSales[[#This Row],[Product_id]],Products!A:A,Products!C:C)</f>
        <v>Storage Equipment</v>
      </c>
      <c r="D176" s="5" t="s">
        <v>492</v>
      </c>
      <c r="E176" s="6" t="s">
        <v>348</v>
      </c>
      <c r="F176" s="7">
        <v>45971</v>
      </c>
      <c r="G176" s="5">
        <v>2</v>
      </c>
      <c r="H176" s="10">
        <f>_xlfn.XLOOKUP(tblSales[[#This Row],[Product_id]],Products!A:A,Products!E:E)</f>
        <v>210000</v>
      </c>
      <c r="I176" s="10">
        <f>_xlfn.XLOOKUP(tblSales[[#This Row],[Product_id]],Products!A:A,Products!F:F)</f>
        <v>295000</v>
      </c>
      <c r="J176" s="10">
        <f>tblSales[[#This Row],[Quantity_sold]]*tblSales[[#This Row],[Unit_Price]]</f>
        <v>590000</v>
      </c>
      <c r="K176" s="5" t="str">
        <f t="shared" ca="1" si="3"/>
        <v>POS</v>
      </c>
      <c r="L176" s="5" t="s">
        <v>646</v>
      </c>
      <c r="M176" s="5" t="s">
        <v>879</v>
      </c>
      <c r="N176" s="10">
        <f>tblSales[[#This Row],[Unit_Price]]*tblSales[[#This Row],[Quantity_sold]]-tblSales[[#This Row],[Cost_price]]*tblSales[[#This Row],[Quantity_sold]]</f>
        <v>170000</v>
      </c>
    </row>
    <row r="177" spans="1:14" x14ac:dyDescent="0.25">
      <c r="A177" s="5" t="s">
        <v>821</v>
      </c>
      <c r="B177" s="5" t="s">
        <v>45</v>
      </c>
      <c r="C177" t="str">
        <f>_xlfn.XLOOKUP(tblSales[[#This Row],[Product_id]],Products!A:A,Products!C:C)</f>
        <v>Power Equipment</v>
      </c>
      <c r="D177" s="5" t="s">
        <v>612</v>
      </c>
      <c r="E177" s="6" t="s">
        <v>553</v>
      </c>
      <c r="F177" s="7">
        <v>45968</v>
      </c>
      <c r="G177" s="5">
        <v>19</v>
      </c>
      <c r="H177" s="10">
        <f>_xlfn.XLOOKUP(tblSales[[#This Row],[Product_id]],Products!A:A,Products!E:E)</f>
        <v>275000</v>
      </c>
      <c r="I177" s="10">
        <f>_xlfn.XLOOKUP(tblSales[[#This Row],[Product_id]],Products!A:A,Products!F:F)</f>
        <v>380000</v>
      </c>
      <c r="J177" s="10">
        <f>tblSales[[#This Row],[Quantity_sold]]*tblSales[[#This Row],[Unit_Price]]</f>
        <v>7220000</v>
      </c>
      <c r="K177" s="5" t="str">
        <f t="shared" ca="1" si="3"/>
        <v>Transfer</v>
      </c>
      <c r="L177" s="5" t="s">
        <v>648</v>
      </c>
      <c r="M177" s="5" t="s">
        <v>117</v>
      </c>
      <c r="N177" s="10">
        <f>tblSales[[#This Row],[Unit_Price]]*tblSales[[#This Row],[Quantity_sold]]-tblSales[[#This Row],[Cost_price]]*tblSales[[#This Row],[Quantity_sold]]</f>
        <v>1995000</v>
      </c>
    </row>
    <row r="178" spans="1:14" x14ac:dyDescent="0.25">
      <c r="A178" s="5" t="s">
        <v>822</v>
      </c>
      <c r="B178" s="5" t="s">
        <v>105</v>
      </c>
      <c r="C178" t="str">
        <f>_xlfn.XLOOKUP(tblSales[[#This Row],[Product_id]],Products!A:A,Products!C:C)</f>
        <v>Agricultural Equipment</v>
      </c>
      <c r="D178" s="5" t="s">
        <v>429</v>
      </c>
      <c r="E178" s="6" t="s">
        <v>430</v>
      </c>
      <c r="F178" s="7">
        <v>45964</v>
      </c>
      <c r="G178" s="5">
        <v>7</v>
      </c>
      <c r="H178" s="10">
        <f>_xlfn.XLOOKUP(tblSales[[#This Row],[Product_id]],Products!A:A,Products!E:E)</f>
        <v>45000</v>
      </c>
      <c r="I178" s="10">
        <f>_xlfn.XLOOKUP(tblSales[[#This Row],[Product_id]],Products!A:A,Products!F:F)</f>
        <v>70000</v>
      </c>
      <c r="J178" s="10">
        <f>tblSales[[#This Row],[Quantity_sold]]*tblSales[[#This Row],[Unit_Price]]</f>
        <v>490000</v>
      </c>
      <c r="K178" s="5" t="str">
        <f t="shared" ref="K178:K209" ca="1" si="4">CHOOSE(RANDBETWEEN(1,3), "Cash", "Transfer", "POS")</f>
        <v>Cash</v>
      </c>
      <c r="L178" s="5" t="s">
        <v>646</v>
      </c>
      <c r="M178" s="5" t="s">
        <v>114</v>
      </c>
      <c r="N178" s="10">
        <f>tblSales[[#This Row],[Unit_Price]]*tblSales[[#This Row],[Quantity_sold]]-tblSales[[#This Row],[Cost_price]]*tblSales[[#This Row],[Quantity_sold]]</f>
        <v>175000</v>
      </c>
    </row>
    <row r="179" spans="1:14" x14ac:dyDescent="0.25">
      <c r="A179" s="5" t="s">
        <v>823</v>
      </c>
      <c r="B179" s="5" t="s">
        <v>44</v>
      </c>
      <c r="C179" t="str">
        <f>_xlfn.XLOOKUP(tblSales[[#This Row],[Product_id]],Products!A:A,Products!C:C)</f>
        <v>Power Equipment</v>
      </c>
      <c r="D179" s="5" t="s">
        <v>317</v>
      </c>
      <c r="E179" s="6" t="s">
        <v>318</v>
      </c>
      <c r="F179" s="7">
        <v>45981</v>
      </c>
      <c r="G179" s="5">
        <v>19</v>
      </c>
      <c r="H179" s="10">
        <f>_xlfn.XLOOKUP(tblSales[[#This Row],[Product_id]],Products!A:A,Products!E:E)</f>
        <v>320000</v>
      </c>
      <c r="I179" s="10">
        <f>_xlfn.XLOOKUP(tblSales[[#This Row],[Product_id]],Products!A:A,Products!F:F)</f>
        <v>435000</v>
      </c>
      <c r="J179" s="10">
        <f>tblSales[[#This Row],[Quantity_sold]]*tblSales[[#This Row],[Unit_Price]]</f>
        <v>8265000</v>
      </c>
      <c r="K179" s="5" t="str">
        <f t="shared" ca="1" si="4"/>
        <v>Transfer</v>
      </c>
      <c r="L179" s="5" t="s">
        <v>256</v>
      </c>
      <c r="M179" s="5" t="s">
        <v>119</v>
      </c>
      <c r="N179" s="10">
        <f>tblSales[[#This Row],[Unit_Price]]*tblSales[[#This Row],[Quantity_sold]]-tblSales[[#This Row],[Cost_price]]*tblSales[[#This Row],[Quantity_sold]]</f>
        <v>2185000</v>
      </c>
    </row>
    <row r="180" spans="1:14" x14ac:dyDescent="0.25">
      <c r="A180" s="5" t="s">
        <v>824</v>
      </c>
      <c r="B180" s="5" t="s">
        <v>57</v>
      </c>
      <c r="C180" t="str">
        <f>_xlfn.XLOOKUP(tblSales[[#This Row],[Product_id]],Products!A:A,Products!C:C)</f>
        <v>Fabrication Tools</v>
      </c>
      <c r="D180" s="5" t="s">
        <v>518</v>
      </c>
      <c r="E180" s="6" t="s">
        <v>400</v>
      </c>
      <c r="F180" s="7">
        <v>45962</v>
      </c>
      <c r="G180" s="5">
        <v>2</v>
      </c>
      <c r="H180" s="10">
        <f>_xlfn.XLOOKUP(tblSales[[#This Row],[Product_id]],Products!A:A,Products!E:E)</f>
        <v>18000</v>
      </c>
      <c r="I180" s="10">
        <f>_xlfn.XLOOKUP(tblSales[[#This Row],[Product_id]],Products!A:A,Products!F:F)</f>
        <v>30000</v>
      </c>
      <c r="J180" s="10">
        <f>tblSales[[#This Row],[Quantity_sold]]*tblSales[[#This Row],[Unit_Price]]</f>
        <v>60000</v>
      </c>
      <c r="K180" s="5" t="str">
        <f t="shared" ca="1" si="4"/>
        <v>Transfer</v>
      </c>
      <c r="L180" s="5" t="s">
        <v>646</v>
      </c>
      <c r="M180" s="5" t="s">
        <v>117</v>
      </c>
      <c r="N180" s="10">
        <f>tblSales[[#This Row],[Unit_Price]]*tblSales[[#This Row],[Quantity_sold]]-tblSales[[#This Row],[Cost_price]]*tblSales[[#This Row],[Quantity_sold]]</f>
        <v>24000</v>
      </c>
    </row>
    <row r="181" spans="1:14" x14ac:dyDescent="0.25">
      <c r="A181" s="5" t="s">
        <v>825</v>
      </c>
      <c r="B181" s="5" t="s">
        <v>96</v>
      </c>
      <c r="C181" t="str">
        <f>_xlfn.XLOOKUP(tblSales[[#This Row],[Product_id]],Products!A:A,Products!C:C)</f>
        <v>Industrial Equipment</v>
      </c>
      <c r="D181" s="5" t="s">
        <v>624</v>
      </c>
      <c r="E181" s="6" t="s">
        <v>565</v>
      </c>
      <c r="F181" s="7">
        <v>45968</v>
      </c>
      <c r="G181" s="5">
        <v>17</v>
      </c>
      <c r="H181" s="10">
        <f>_xlfn.XLOOKUP(tblSales[[#This Row],[Product_id]],Products!A:A,Products!E:E)</f>
        <v>320000</v>
      </c>
      <c r="I181" s="10">
        <f>_xlfn.XLOOKUP(tblSales[[#This Row],[Product_id]],Products!A:A,Products!F:F)</f>
        <v>450000</v>
      </c>
      <c r="J181" s="10">
        <f>tblSales[[#This Row],[Quantity_sold]]*tblSales[[#This Row],[Unit_Price]]</f>
        <v>7650000</v>
      </c>
      <c r="K181" s="5" t="str">
        <f t="shared" ca="1" si="4"/>
        <v>Cash</v>
      </c>
      <c r="L181" s="5" t="s">
        <v>646</v>
      </c>
      <c r="M181" s="5" t="s">
        <v>116</v>
      </c>
      <c r="N181" s="10">
        <f>tblSales[[#This Row],[Unit_Price]]*tblSales[[#This Row],[Quantity_sold]]-tblSales[[#This Row],[Cost_price]]*tblSales[[#This Row],[Quantity_sold]]</f>
        <v>2210000</v>
      </c>
    </row>
    <row r="182" spans="1:14" x14ac:dyDescent="0.25">
      <c r="A182" s="5" t="s">
        <v>826</v>
      </c>
      <c r="B182" s="5" t="s">
        <v>37</v>
      </c>
      <c r="C182" t="str">
        <f>_xlfn.XLOOKUP(tblSales[[#This Row],[Product_id]],Products!A:A,Products!C:C)</f>
        <v>Industrial Equipment</v>
      </c>
      <c r="D182" s="5" t="s">
        <v>464</v>
      </c>
      <c r="E182" s="6" t="s">
        <v>292</v>
      </c>
      <c r="F182" s="7">
        <v>45983</v>
      </c>
      <c r="G182" s="5">
        <v>2</v>
      </c>
      <c r="H182" s="10">
        <f>_xlfn.XLOOKUP(tblSales[[#This Row],[Product_id]],Products!A:A,Products!E:E)</f>
        <v>185000</v>
      </c>
      <c r="I182" s="10">
        <f>_xlfn.XLOOKUP(tblSales[[#This Row],[Product_id]],Products!A:A,Products!F:F)</f>
        <v>255000</v>
      </c>
      <c r="J182" s="10">
        <f>tblSales[[#This Row],[Quantity_sold]]*tblSales[[#This Row],[Unit_Price]]</f>
        <v>510000</v>
      </c>
      <c r="K182" s="5" t="str">
        <f t="shared" ca="1" si="4"/>
        <v>POS</v>
      </c>
      <c r="L182" s="5" t="s">
        <v>651</v>
      </c>
      <c r="M182" s="5" t="s">
        <v>114</v>
      </c>
      <c r="N182" s="10">
        <f>tblSales[[#This Row],[Unit_Price]]*tblSales[[#This Row],[Quantity_sold]]-tblSales[[#This Row],[Cost_price]]*tblSales[[#This Row],[Quantity_sold]]</f>
        <v>140000</v>
      </c>
    </row>
    <row r="183" spans="1:14" x14ac:dyDescent="0.25">
      <c r="A183" s="5" t="s">
        <v>827</v>
      </c>
      <c r="B183" s="5" t="s">
        <v>68</v>
      </c>
      <c r="C183" t="str">
        <f>_xlfn.XLOOKUP(tblSales[[#This Row],[Product_id]],Products!A:A,Products!C:C)</f>
        <v>Agricultural Equipment</v>
      </c>
      <c r="D183" s="5" t="s">
        <v>453</v>
      </c>
      <c r="E183" s="6" t="s">
        <v>270</v>
      </c>
      <c r="F183" s="7">
        <v>45974</v>
      </c>
      <c r="G183" s="5">
        <v>14</v>
      </c>
      <c r="H183" s="10">
        <f>_xlfn.XLOOKUP(tblSales[[#This Row],[Product_id]],Products!A:A,Products!E:E)</f>
        <v>9500</v>
      </c>
      <c r="I183" s="10">
        <f>_xlfn.XLOOKUP(tblSales[[#This Row],[Product_id]],Products!A:A,Products!F:F)</f>
        <v>16500</v>
      </c>
      <c r="J183" s="10">
        <f>tblSales[[#This Row],[Quantity_sold]]*tblSales[[#This Row],[Unit_Price]]</f>
        <v>231000</v>
      </c>
      <c r="K183" s="5" t="str">
        <f t="shared" ca="1" si="4"/>
        <v>Transfer</v>
      </c>
      <c r="L183" s="5" t="s">
        <v>270</v>
      </c>
      <c r="M183" s="5" t="s">
        <v>116</v>
      </c>
      <c r="N183" s="10">
        <f>tblSales[[#This Row],[Unit_Price]]*tblSales[[#This Row],[Quantity_sold]]-tblSales[[#This Row],[Cost_price]]*tblSales[[#This Row],[Quantity_sold]]</f>
        <v>98000</v>
      </c>
    </row>
    <row r="184" spans="1:14" x14ac:dyDescent="0.25">
      <c r="A184" s="5" t="s">
        <v>828</v>
      </c>
      <c r="B184" s="5" t="s">
        <v>59</v>
      </c>
      <c r="C184" t="str">
        <f>_xlfn.XLOOKUP(tblSales[[#This Row],[Product_id]],Products!A:A,Products!C:C)</f>
        <v>Safety Equipment</v>
      </c>
      <c r="D184" s="5" t="s">
        <v>429</v>
      </c>
      <c r="E184" s="6" t="s">
        <v>430</v>
      </c>
      <c r="F184" s="7">
        <v>45981</v>
      </c>
      <c r="G184" s="5">
        <v>17</v>
      </c>
      <c r="H184" s="10">
        <f>_xlfn.XLOOKUP(tblSales[[#This Row],[Product_id]],Products!A:A,Products!E:E)</f>
        <v>22000</v>
      </c>
      <c r="I184" s="10">
        <f>_xlfn.XLOOKUP(tblSales[[#This Row],[Product_id]],Products!A:A,Products!F:F)</f>
        <v>36000</v>
      </c>
      <c r="J184" s="10">
        <f>tblSales[[#This Row],[Quantity_sold]]*tblSales[[#This Row],[Unit_Price]]</f>
        <v>612000</v>
      </c>
      <c r="K184" s="5" t="str">
        <f t="shared" ca="1" si="4"/>
        <v>Transfer</v>
      </c>
      <c r="L184" s="5" t="s">
        <v>256</v>
      </c>
      <c r="M184" s="5" t="s">
        <v>117</v>
      </c>
      <c r="N184" s="10">
        <f>tblSales[[#This Row],[Unit_Price]]*tblSales[[#This Row],[Quantity_sold]]-tblSales[[#This Row],[Cost_price]]*tblSales[[#This Row],[Quantity_sold]]</f>
        <v>238000</v>
      </c>
    </row>
    <row r="185" spans="1:14" x14ac:dyDescent="0.25">
      <c r="A185" s="5" t="s">
        <v>829</v>
      </c>
      <c r="B185" s="5" t="s">
        <v>6</v>
      </c>
      <c r="C185" t="str">
        <f>_xlfn.XLOOKUP(tblSales[[#This Row],[Product_id]],Products!A:A,Products!C:C)</f>
        <v>Agricultural Machine</v>
      </c>
      <c r="D185" s="5" t="s">
        <v>578</v>
      </c>
      <c r="E185" s="6" t="s">
        <v>422</v>
      </c>
      <c r="F185" s="7">
        <v>45972</v>
      </c>
      <c r="G185" s="5">
        <v>10</v>
      </c>
      <c r="H185" s="10">
        <f>_xlfn.XLOOKUP(tblSales[[#This Row],[Product_id]],Products!A:A,Products!E:E)</f>
        <v>95000</v>
      </c>
      <c r="I185" s="10">
        <f>_xlfn.XLOOKUP(tblSales[[#This Row],[Product_id]],Products!A:A,Products!F:F)</f>
        <v>135000</v>
      </c>
      <c r="J185" s="10">
        <f>tblSales[[#This Row],[Quantity_sold]]*tblSales[[#This Row],[Unit_Price]]</f>
        <v>1350000</v>
      </c>
      <c r="K185" s="5" t="str">
        <f t="shared" ca="1" si="4"/>
        <v>POS</v>
      </c>
      <c r="L185" s="5" t="s">
        <v>252</v>
      </c>
      <c r="M185" s="5" t="s">
        <v>115</v>
      </c>
      <c r="N185" s="10">
        <f>tblSales[[#This Row],[Unit_Price]]*tblSales[[#This Row],[Quantity_sold]]-tblSales[[#This Row],[Cost_price]]*tblSales[[#This Row],[Quantity_sold]]</f>
        <v>400000</v>
      </c>
    </row>
    <row r="186" spans="1:14" x14ac:dyDescent="0.25">
      <c r="A186" s="5" t="s">
        <v>830</v>
      </c>
      <c r="B186" s="5" t="s">
        <v>53</v>
      </c>
      <c r="C186" t="str">
        <f>_xlfn.XLOOKUP(tblSales[[#This Row],[Product_id]],Products!A:A,Products!C:C)</f>
        <v>Agricultural Equipment</v>
      </c>
      <c r="D186" s="5" t="s">
        <v>359</v>
      </c>
      <c r="E186" s="6" t="s">
        <v>360</v>
      </c>
      <c r="F186" s="7">
        <v>45981</v>
      </c>
      <c r="G186" s="5">
        <v>20</v>
      </c>
      <c r="H186" s="10">
        <f>_xlfn.XLOOKUP(tblSales[[#This Row],[Product_id]],Products!A:A,Products!E:E)</f>
        <v>165000</v>
      </c>
      <c r="I186" s="10">
        <f>_xlfn.XLOOKUP(tblSales[[#This Row],[Product_id]],Products!A:A,Products!F:F)</f>
        <v>230000</v>
      </c>
      <c r="J186" s="10">
        <f>tblSales[[#This Row],[Quantity_sold]]*tblSales[[#This Row],[Unit_Price]]</f>
        <v>4600000</v>
      </c>
      <c r="K186" s="5" t="str">
        <f t="shared" ca="1" si="4"/>
        <v>Transfer</v>
      </c>
      <c r="L186" s="5" t="s">
        <v>646</v>
      </c>
      <c r="M186" s="5" t="s">
        <v>115</v>
      </c>
      <c r="N186" s="10">
        <f>tblSales[[#This Row],[Unit_Price]]*tblSales[[#This Row],[Quantity_sold]]-tblSales[[#This Row],[Cost_price]]*tblSales[[#This Row],[Quantity_sold]]</f>
        <v>1300000</v>
      </c>
    </row>
    <row r="187" spans="1:14" x14ac:dyDescent="0.25">
      <c r="A187" s="5" t="s">
        <v>831</v>
      </c>
      <c r="B187" s="5" t="s">
        <v>91</v>
      </c>
      <c r="C187" t="str">
        <f>_xlfn.XLOOKUP(tblSales[[#This Row],[Product_id]],Products!A:A,Products!C:C)</f>
        <v>Storage Equipment</v>
      </c>
      <c r="D187" s="5" t="s">
        <v>474</v>
      </c>
      <c r="E187" s="6" t="s">
        <v>312</v>
      </c>
      <c r="F187" s="7">
        <v>45987</v>
      </c>
      <c r="G187" s="5">
        <v>11</v>
      </c>
      <c r="H187" s="10">
        <f>_xlfn.XLOOKUP(tblSales[[#This Row],[Product_id]],Products!A:A,Products!E:E)</f>
        <v>38000</v>
      </c>
      <c r="I187" s="10">
        <f>_xlfn.XLOOKUP(tblSales[[#This Row],[Product_id]],Products!A:A,Products!F:F)</f>
        <v>62000</v>
      </c>
      <c r="J187" s="10">
        <f>tblSales[[#This Row],[Quantity_sold]]*tblSales[[#This Row],[Unit_Price]]</f>
        <v>682000</v>
      </c>
      <c r="K187" s="5" t="str">
        <f t="shared" ca="1" si="4"/>
        <v>Cash</v>
      </c>
      <c r="L187" s="5" t="s">
        <v>252</v>
      </c>
      <c r="M187" s="5" t="s">
        <v>115</v>
      </c>
      <c r="N187" s="10">
        <f>tblSales[[#This Row],[Unit_Price]]*tblSales[[#This Row],[Quantity_sold]]-tblSales[[#This Row],[Cost_price]]*tblSales[[#This Row],[Quantity_sold]]</f>
        <v>264000</v>
      </c>
    </row>
    <row r="188" spans="1:14" x14ac:dyDescent="0.25">
      <c r="A188" s="5" t="s">
        <v>832</v>
      </c>
      <c r="B188" s="5" t="s">
        <v>101</v>
      </c>
      <c r="C188" t="str">
        <f>_xlfn.XLOOKUP(tblSales[[#This Row],[Product_id]],Products!A:A,Products!C:C)</f>
        <v>Fabrication Tools</v>
      </c>
      <c r="D188" s="5" t="s">
        <v>610</v>
      </c>
      <c r="E188" s="6" t="s">
        <v>551</v>
      </c>
      <c r="F188" s="7">
        <v>45975</v>
      </c>
      <c r="G188" s="5">
        <v>18</v>
      </c>
      <c r="H188" s="10">
        <f>_xlfn.XLOOKUP(tblSales[[#This Row],[Product_id]],Products!A:A,Products!E:E)</f>
        <v>145000</v>
      </c>
      <c r="I188" s="10">
        <f>_xlfn.XLOOKUP(tblSales[[#This Row],[Product_id]],Products!A:A,Products!F:F)</f>
        <v>210000</v>
      </c>
      <c r="J188" s="10">
        <f>tblSales[[#This Row],[Quantity_sold]]*tblSales[[#This Row],[Unit_Price]]</f>
        <v>3780000</v>
      </c>
      <c r="K188" s="5" t="str">
        <f t="shared" ca="1" si="4"/>
        <v>Cash</v>
      </c>
      <c r="L188" s="5" t="s">
        <v>270</v>
      </c>
      <c r="M188" s="5" t="s">
        <v>119</v>
      </c>
      <c r="N188" s="10">
        <f>tblSales[[#This Row],[Unit_Price]]*tblSales[[#This Row],[Quantity_sold]]-tblSales[[#This Row],[Cost_price]]*tblSales[[#This Row],[Quantity_sold]]</f>
        <v>1170000</v>
      </c>
    </row>
    <row r="189" spans="1:14" x14ac:dyDescent="0.25">
      <c r="A189" s="5" t="s">
        <v>833</v>
      </c>
      <c r="B189" s="5" t="s">
        <v>67</v>
      </c>
      <c r="C189" t="str">
        <f>_xlfn.XLOOKUP(tblSales[[#This Row],[Product_id]],Products!A:A,Products!C:C)</f>
        <v>Agricultural Equipment</v>
      </c>
      <c r="D189" s="5" t="s">
        <v>411</v>
      </c>
      <c r="E189" s="6" t="s">
        <v>412</v>
      </c>
      <c r="F189" s="7">
        <v>46011</v>
      </c>
      <c r="G189" s="5">
        <v>18</v>
      </c>
      <c r="H189" s="10">
        <f>_xlfn.XLOOKUP(tblSales[[#This Row],[Product_id]],Products!A:A,Products!E:E)</f>
        <v>18500</v>
      </c>
      <c r="I189" s="10">
        <f>_xlfn.XLOOKUP(tblSales[[#This Row],[Product_id]],Products!A:A,Products!F:F)</f>
        <v>29500</v>
      </c>
      <c r="J189" s="10">
        <f>tblSales[[#This Row],[Quantity_sold]]*tblSales[[#This Row],[Unit_Price]]</f>
        <v>531000</v>
      </c>
      <c r="K189" s="5" t="str">
        <f t="shared" ca="1" si="4"/>
        <v>Transfer</v>
      </c>
      <c r="L189" s="5" t="s">
        <v>256</v>
      </c>
      <c r="M189" s="5" t="s">
        <v>114</v>
      </c>
      <c r="N189" s="10">
        <f>tblSales[[#This Row],[Unit_Price]]*tblSales[[#This Row],[Quantity_sold]]-tblSales[[#This Row],[Cost_price]]*tblSales[[#This Row],[Quantity_sold]]</f>
        <v>198000</v>
      </c>
    </row>
    <row r="190" spans="1:14" x14ac:dyDescent="0.25">
      <c r="A190" s="5" t="s">
        <v>834</v>
      </c>
      <c r="B190" s="5" t="s">
        <v>62</v>
      </c>
      <c r="C190" t="str">
        <f>_xlfn.XLOOKUP(tblSales[[#This Row],[Product_id]],Products!A:A,Products!C:C)</f>
        <v>Processing Equipment</v>
      </c>
      <c r="D190" s="5" t="s">
        <v>489</v>
      </c>
      <c r="E190" s="6" t="s">
        <v>342</v>
      </c>
      <c r="F190" s="7">
        <v>46007</v>
      </c>
      <c r="G190" s="5">
        <v>5</v>
      </c>
      <c r="H190" s="10">
        <f>_xlfn.XLOOKUP(tblSales[[#This Row],[Product_id]],Products!A:A,Products!E:E)</f>
        <v>410000</v>
      </c>
      <c r="I190" s="10">
        <f>_xlfn.XLOOKUP(tblSales[[#This Row],[Product_id]],Products!A:A,Products!F:F)</f>
        <v>560000</v>
      </c>
      <c r="J190" s="10">
        <f>tblSales[[#This Row],[Quantity_sold]]*tblSales[[#This Row],[Unit_Price]]</f>
        <v>2800000</v>
      </c>
      <c r="K190" s="5" t="str">
        <f t="shared" ca="1" si="4"/>
        <v>POS</v>
      </c>
      <c r="L190" s="5" t="s">
        <v>648</v>
      </c>
      <c r="M190" s="5" t="s">
        <v>115</v>
      </c>
      <c r="N190" s="10">
        <f>tblSales[[#This Row],[Unit_Price]]*tblSales[[#This Row],[Quantity_sold]]-tblSales[[#This Row],[Cost_price]]*tblSales[[#This Row],[Quantity_sold]]</f>
        <v>750000</v>
      </c>
    </row>
    <row r="191" spans="1:14" x14ac:dyDescent="0.25">
      <c r="A191" s="5" t="s">
        <v>835</v>
      </c>
      <c r="B191" s="5" t="s">
        <v>20</v>
      </c>
      <c r="C191" t="str">
        <f>_xlfn.XLOOKUP(tblSales[[#This Row],[Product_id]],Products!A:A,Products!C:C)</f>
        <v>Agricultural Machine</v>
      </c>
      <c r="D191" s="5" t="s">
        <v>609</v>
      </c>
      <c r="E191" s="6" t="s">
        <v>550</v>
      </c>
      <c r="F191" s="7">
        <v>45993</v>
      </c>
      <c r="G191" s="5">
        <v>14</v>
      </c>
      <c r="H191" s="10">
        <f>_xlfn.XLOOKUP(tblSales[[#This Row],[Product_id]],Products!A:A,Products!E:E)</f>
        <v>140000</v>
      </c>
      <c r="I191" s="10">
        <f>_xlfn.XLOOKUP(tblSales[[#This Row],[Product_id]],Products!A:A,Products!F:F)</f>
        <v>195000</v>
      </c>
      <c r="J191" s="10">
        <f>tblSales[[#This Row],[Quantity_sold]]*tblSales[[#This Row],[Unit_Price]]</f>
        <v>2730000</v>
      </c>
      <c r="K191" s="5" t="str">
        <f t="shared" ca="1" si="4"/>
        <v>Cash</v>
      </c>
      <c r="L191" s="5" t="s">
        <v>648</v>
      </c>
      <c r="M191" s="5" t="s">
        <v>114</v>
      </c>
      <c r="N191" s="10">
        <f>tblSales[[#This Row],[Unit_Price]]*tblSales[[#This Row],[Quantity_sold]]-tblSales[[#This Row],[Cost_price]]*tblSales[[#This Row],[Quantity_sold]]</f>
        <v>770000</v>
      </c>
    </row>
    <row r="192" spans="1:14" x14ac:dyDescent="0.25">
      <c r="A192" s="5" t="s">
        <v>836</v>
      </c>
      <c r="B192" s="5" t="s">
        <v>86</v>
      </c>
      <c r="C192" t="str">
        <f>_xlfn.XLOOKUP(tblSales[[#This Row],[Product_id]],Products!A:A,Products!C:C)</f>
        <v>Power Equipment</v>
      </c>
      <c r="D192" s="5" t="s">
        <v>577</v>
      </c>
      <c r="E192" s="6" t="s">
        <v>420</v>
      </c>
      <c r="F192" s="7">
        <v>46001</v>
      </c>
      <c r="G192" s="5">
        <v>17</v>
      </c>
      <c r="H192" s="10">
        <f>_xlfn.XLOOKUP(tblSales[[#This Row],[Product_id]],Products!A:A,Products!E:E)</f>
        <v>35000</v>
      </c>
      <c r="I192" s="10">
        <f>_xlfn.XLOOKUP(tblSales[[#This Row],[Product_id]],Products!A:A,Products!F:F)</f>
        <v>56000</v>
      </c>
      <c r="J192" s="10">
        <f>tblSales[[#This Row],[Quantity_sold]]*tblSales[[#This Row],[Unit_Price]]</f>
        <v>952000</v>
      </c>
      <c r="K192" s="5" t="str">
        <f t="shared" ca="1" si="4"/>
        <v>POS</v>
      </c>
      <c r="L192" s="5" t="s">
        <v>270</v>
      </c>
      <c r="M192" s="5" t="s">
        <v>116</v>
      </c>
      <c r="N192" s="10">
        <f>tblSales[[#This Row],[Unit_Price]]*tblSales[[#This Row],[Quantity_sold]]-tblSales[[#This Row],[Cost_price]]*tblSales[[#This Row],[Quantity_sold]]</f>
        <v>357000</v>
      </c>
    </row>
    <row r="193" spans="1:14" x14ac:dyDescent="0.25">
      <c r="A193" s="5" t="s">
        <v>837</v>
      </c>
      <c r="B193" s="5" t="s">
        <v>101</v>
      </c>
      <c r="C193" t="str">
        <f>_xlfn.XLOOKUP(tblSales[[#This Row],[Product_id]],Products!A:A,Products!C:C)</f>
        <v>Fabrication Tools</v>
      </c>
      <c r="D193" s="5" t="s">
        <v>473</v>
      </c>
      <c r="E193" s="6" t="s">
        <v>310</v>
      </c>
      <c r="F193" s="7">
        <v>45999</v>
      </c>
      <c r="G193" s="5">
        <v>4</v>
      </c>
      <c r="H193" s="10">
        <f>_xlfn.XLOOKUP(tblSales[[#This Row],[Product_id]],Products!A:A,Products!E:E)</f>
        <v>145000</v>
      </c>
      <c r="I193" s="10">
        <f>_xlfn.XLOOKUP(tblSales[[#This Row],[Product_id]],Products!A:A,Products!F:F)</f>
        <v>210000</v>
      </c>
      <c r="J193" s="10">
        <f>tblSales[[#This Row],[Quantity_sold]]*tblSales[[#This Row],[Unit_Price]]</f>
        <v>840000</v>
      </c>
      <c r="K193" s="5" t="str">
        <f t="shared" ca="1" si="4"/>
        <v>Transfer</v>
      </c>
      <c r="L193" s="5" t="s">
        <v>651</v>
      </c>
      <c r="M193" s="5" t="s">
        <v>119</v>
      </c>
      <c r="N193" s="10">
        <f>tblSales[[#This Row],[Unit_Price]]*tblSales[[#This Row],[Quantity_sold]]-tblSales[[#This Row],[Cost_price]]*tblSales[[#This Row],[Quantity_sold]]</f>
        <v>260000</v>
      </c>
    </row>
    <row r="194" spans="1:14" x14ac:dyDescent="0.25">
      <c r="A194" s="5" t="s">
        <v>838</v>
      </c>
      <c r="B194" s="5" t="s">
        <v>71</v>
      </c>
      <c r="C194" t="str">
        <f>_xlfn.XLOOKUP(tblSales[[#This Row],[Product_id]],Products!A:A,Products!C:C)</f>
        <v>Agricultural Machine</v>
      </c>
      <c r="D194" s="5" t="s">
        <v>475</v>
      </c>
      <c r="E194" s="6" t="s">
        <v>314</v>
      </c>
      <c r="F194" s="7">
        <v>45992</v>
      </c>
      <c r="G194" s="5">
        <v>10</v>
      </c>
      <c r="H194" s="10">
        <f>_xlfn.XLOOKUP(tblSales[[#This Row],[Product_id]],Products!A:A,Products!E:E)</f>
        <v>275000</v>
      </c>
      <c r="I194" s="10">
        <f>_xlfn.XLOOKUP(tblSales[[#This Row],[Product_id]],Products!A:A,Products!F:F)</f>
        <v>385000</v>
      </c>
      <c r="J194" s="10">
        <f>tblSales[[#This Row],[Quantity_sold]]*tblSales[[#This Row],[Unit_Price]]</f>
        <v>3850000</v>
      </c>
      <c r="K194" s="5" t="str">
        <f t="shared" ca="1" si="4"/>
        <v>POS</v>
      </c>
      <c r="L194" s="5" t="s">
        <v>252</v>
      </c>
      <c r="M194" s="5" t="s">
        <v>114</v>
      </c>
      <c r="N194" s="10">
        <f>tblSales[[#This Row],[Unit_Price]]*tblSales[[#This Row],[Quantity_sold]]-tblSales[[#This Row],[Cost_price]]*tblSales[[#This Row],[Quantity_sold]]</f>
        <v>1100000</v>
      </c>
    </row>
    <row r="195" spans="1:14" x14ac:dyDescent="0.25">
      <c r="A195" s="5" t="s">
        <v>839</v>
      </c>
      <c r="B195" s="5" t="s">
        <v>32</v>
      </c>
      <c r="C195" t="str">
        <f>_xlfn.XLOOKUP(tblSales[[#This Row],[Product_id]],Products!A:A,Products!C:C)</f>
        <v>Agricultural Equipment</v>
      </c>
      <c r="D195" s="5" t="s">
        <v>499</v>
      </c>
      <c r="E195" s="6" t="s">
        <v>362</v>
      </c>
      <c r="F195" s="7">
        <v>46022</v>
      </c>
      <c r="G195" s="5">
        <v>18</v>
      </c>
      <c r="H195" s="10">
        <f>_xlfn.XLOOKUP(tblSales[[#This Row],[Product_id]],Products!A:A,Products!E:E)</f>
        <v>98000</v>
      </c>
      <c r="I195" s="10">
        <f>_xlfn.XLOOKUP(tblSales[[#This Row],[Product_id]],Products!A:A,Products!F:F)</f>
        <v>145000</v>
      </c>
      <c r="J195" s="10">
        <f>tblSales[[#This Row],[Quantity_sold]]*tblSales[[#This Row],[Unit_Price]]</f>
        <v>2610000</v>
      </c>
      <c r="K195" s="5" t="str">
        <f t="shared" ca="1" si="4"/>
        <v>Cash</v>
      </c>
      <c r="L195" s="5" t="s">
        <v>646</v>
      </c>
      <c r="M195" s="5" t="s">
        <v>117</v>
      </c>
      <c r="N195" s="10">
        <f>tblSales[[#This Row],[Unit_Price]]*tblSales[[#This Row],[Quantity_sold]]-tblSales[[#This Row],[Cost_price]]*tblSales[[#This Row],[Quantity_sold]]</f>
        <v>846000</v>
      </c>
    </row>
    <row r="196" spans="1:14" x14ac:dyDescent="0.25">
      <c r="A196" s="5" t="s">
        <v>840</v>
      </c>
      <c r="B196" s="5" t="s">
        <v>52</v>
      </c>
      <c r="C196" t="str">
        <f>_xlfn.XLOOKUP(tblSales[[#This Row],[Product_id]],Products!A:A,Products!C:C)</f>
        <v>Fabrication Tools</v>
      </c>
      <c r="D196" s="5" t="s">
        <v>518</v>
      </c>
      <c r="E196" s="6" t="s">
        <v>400</v>
      </c>
      <c r="F196" s="7">
        <v>46004</v>
      </c>
      <c r="G196" s="5">
        <v>3</v>
      </c>
      <c r="H196" s="10">
        <f>_xlfn.XLOOKUP(tblSales[[#This Row],[Product_id]],Products!A:A,Products!E:E)</f>
        <v>75000</v>
      </c>
      <c r="I196" s="10">
        <f>_xlfn.XLOOKUP(tblSales[[#This Row],[Product_id]],Products!A:A,Products!F:F)</f>
        <v>110000</v>
      </c>
      <c r="J196" s="10">
        <f>tblSales[[#This Row],[Quantity_sold]]*tblSales[[#This Row],[Unit_Price]]</f>
        <v>330000</v>
      </c>
      <c r="K196" s="5" t="str">
        <f t="shared" ca="1" si="4"/>
        <v>POS</v>
      </c>
      <c r="L196" s="5" t="s">
        <v>646</v>
      </c>
      <c r="M196" s="5" t="s">
        <v>879</v>
      </c>
      <c r="N196" s="10">
        <f>tblSales[[#This Row],[Unit_Price]]*tblSales[[#This Row],[Quantity_sold]]-tblSales[[#This Row],[Cost_price]]*tblSales[[#This Row],[Quantity_sold]]</f>
        <v>105000</v>
      </c>
    </row>
    <row r="197" spans="1:14" x14ac:dyDescent="0.25">
      <c r="A197" s="5" t="s">
        <v>841</v>
      </c>
      <c r="B197" s="5" t="s">
        <v>99</v>
      </c>
      <c r="C197" t="str">
        <f>_xlfn.XLOOKUP(tblSales[[#This Row],[Product_id]],Products!A:A,Products!C:C)</f>
        <v>Processing Equipment</v>
      </c>
      <c r="D197" s="5" t="s">
        <v>594</v>
      </c>
      <c r="E197" s="6" t="s">
        <v>535</v>
      </c>
      <c r="F197" s="7">
        <v>46006</v>
      </c>
      <c r="G197" s="5">
        <v>16</v>
      </c>
      <c r="H197" s="10">
        <f>_xlfn.XLOOKUP(tblSales[[#This Row],[Product_id]],Products!A:A,Products!E:E)</f>
        <v>85000</v>
      </c>
      <c r="I197" s="10">
        <f>_xlfn.XLOOKUP(tblSales[[#This Row],[Product_id]],Products!A:A,Products!F:F)</f>
        <v>130000</v>
      </c>
      <c r="J197" s="10">
        <f>tblSales[[#This Row],[Quantity_sold]]*tblSales[[#This Row],[Unit_Price]]</f>
        <v>2080000</v>
      </c>
      <c r="K197" s="5" t="str">
        <f t="shared" ca="1" si="4"/>
        <v>Transfer</v>
      </c>
      <c r="L197" s="5" t="s">
        <v>252</v>
      </c>
      <c r="M197" s="5" t="s">
        <v>117</v>
      </c>
      <c r="N197" s="10">
        <f>tblSales[[#This Row],[Unit_Price]]*tblSales[[#This Row],[Quantity_sold]]-tblSales[[#This Row],[Cost_price]]*tblSales[[#This Row],[Quantity_sold]]</f>
        <v>720000</v>
      </c>
    </row>
    <row r="198" spans="1:14" x14ac:dyDescent="0.25">
      <c r="A198" s="5" t="s">
        <v>842</v>
      </c>
      <c r="B198" s="5" t="s">
        <v>85</v>
      </c>
      <c r="C198" t="str">
        <f>_xlfn.XLOOKUP(tblSales[[#This Row],[Product_id]],Products!A:A,Products!C:C)</f>
        <v>Industrial Equipment</v>
      </c>
      <c r="D198" s="5" t="s">
        <v>633</v>
      </c>
      <c r="E198" s="6" t="s">
        <v>573</v>
      </c>
      <c r="F198" s="7">
        <v>46007</v>
      </c>
      <c r="G198" s="5">
        <v>18</v>
      </c>
      <c r="H198" s="10">
        <f>_xlfn.XLOOKUP(tblSales[[#This Row],[Product_id]],Products!A:A,Products!E:E)</f>
        <v>42000</v>
      </c>
      <c r="I198" s="10">
        <f>_xlfn.XLOOKUP(tblSales[[#This Row],[Product_id]],Products!A:A,Products!F:F)</f>
        <v>68000</v>
      </c>
      <c r="J198" s="10">
        <f>tblSales[[#This Row],[Quantity_sold]]*tblSales[[#This Row],[Unit_Price]]</f>
        <v>1224000</v>
      </c>
      <c r="K198" s="5" t="str">
        <f t="shared" ca="1" si="4"/>
        <v>Transfer</v>
      </c>
      <c r="L198" s="5" t="s">
        <v>256</v>
      </c>
      <c r="M198" s="5" t="s">
        <v>879</v>
      </c>
      <c r="N198" s="10">
        <f>tblSales[[#This Row],[Unit_Price]]*tblSales[[#This Row],[Quantity_sold]]-tblSales[[#This Row],[Cost_price]]*tblSales[[#This Row],[Quantity_sold]]</f>
        <v>468000</v>
      </c>
    </row>
    <row r="199" spans="1:14" x14ac:dyDescent="0.25">
      <c r="A199" s="5" t="s">
        <v>843</v>
      </c>
      <c r="B199" s="5" t="s">
        <v>66</v>
      </c>
      <c r="C199" t="str">
        <f>_xlfn.XLOOKUP(tblSales[[#This Row],[Product_id]],Products!A:A,Products!C:C)</f>
        <v>Agricultural Equipment</v>
      </c>
      <c r="D199" s="5" t="s">
        <v>450</v>
      </c>
      <c r="E199" s="6" t="s">
        <v>264</v>
      </c>
      <c r="F199" s="7">
        <v>45994</v>
      </c>
      <c r="G199" s="5">
        <v>12</v>
      </c>
      <c r="H199" s="10">
        <f>_xlfn.XLOOKUP(tblSales[[#This Row],[Product_id]],Products!A:A,Products!E:E)</f>
        <v>34000</v>
      </c>
      <c r="I199" s="10">
        <f>_xlfn.XLOOKUP(tblSales[[#This Row],[Product_id]],Products!A:A,Products!F:F)</f>
        <v>52000</v>
      </c>
      <c r="J199" s="10">
        <f>tblSales[[#This Row],[Quantity_sold]]*tblSales[[#This Row],[Unit_Price]]</f>
        <v>624000</v>
      </c>
      <c r="K199" s="5" t="str">
        <f t="shared" ca="1" si="4"/>
        <v>POS</v>
      </c>
      <c r="L199" s="5" t="s">
        <v>256</v>
      </c>
      <c r="M199" s="5" t="s">
        <v>115</v>
      </c>
      <c r="N199" s="10">
        <f>tblSales[[#This Row],[Unit_Price]]*tblSales[[#This Row],[Quantity_sold]]-tblSales[[#This Row],[Cost_price]]*tblSales[[#This Row],[Quantity_sold]]</f>
        <v>216000</v>
      </c>
    </row>
    <row r="200" spans="1:14" x14ac:dyDescent="0.25">
      <c r="A200" s="5" t="s">
        <v>844</v>
      </c>
      <c r="B200" s="5" t="s">
        <v>112</v>
      </c>
      <c r="C200" t="str">
        <f>_xlfn.XLOOKUP(tblSales[[#This Row],[Product_id]],Products!A:A,Products!C:C)</f>
        <v>Agriculture Equipment</v>
      </c>
      <c r="D200" s="5" t="s">
        <v>498</v>
      </c>
      <c r="E200" s="6" t="s">
        <v>360</v>
      </c>
      <c r="F200" s="7">
        <v>46022</v>
      </c>
      <c r="G200" s="5">
        <v>8</v>
      </c>
      <c r="H200" s="10">
        <f>_xlfn.XLOOKUP(tblSales[[#This Row],[Product_id]],Products!A:A,Products!E:E)</f>
        <v>44000</v>
      </c>
      <c r="I200" s="10">
        <f>_xlfn.XLOOKUP(tblSales[[#This Row],[Product_id]],Products!A:A,Products!F:F)</f>
        <v>63000</v>
      </c>
      <c r="J200" s="10">
        <f>tblSales[[#This Row],[Quantity_sold]]*tblSales[[#This Row],[Unit_Price]]</f>
        <v>504000</v>
      </c>
      <c r="K200" s="5" t="str">
        <f t="shared" ca="1" si="4"/>
        <v>POS</v>
      </c>
      <c r="L200" s="5" t="s">
        <v>252</v>
      </c>
      <c r="M200" s="5" t="s">
        <v>119</v>
      </c>
      <c r="N200" s="10">
        <f>tblSales[[#This Row],[Unit_Price]]*tblSales[[#This Row],[Quantity_sold]]-tblSales[[#This Row],[Cost_price]]*tblSales[[#This Row],[Quantity_sold]]</f>
        <v>152000</v>
      </c>
    </row>
    <row r="201" spans="1:14" x14ac:dyDescent="0.25">
      <c r="A201" s="5" t="s">
        <v>845</v>
      </c>
      <c r="B201" s="5" t="s">
        <v>101</v>
      </c>
      <c r="C201" t="str">
        <f>_xlfn.XLOOKUP(tblSales[[#This Row],[Product_id]],Products!A:A,Products!C:C)</f>
        <v>Fabrication Tools</v>
      </c>
      <c r="D201" s="5" t="s">
        <v>525</v>
      </c>
      <c r="E201" s="6" t="s">
        <v>414</v>
      </c>
      <c r="F201" s="7">
        <v>46021</v>
      </c>
      <c r="G201" s="5">
        <v>15</v>
      </c>
      <c r="H201" s="10">
        <f>_xlfn.XLOOKUP(tblSales[[#This Row],[Product_id]],Products!A:A,Products!E:E)</f>
        <v>145000</v>
      </c>
      <c r="I201" s="10">
        <f>_xlfn.XLOOKUP(tblSales[[#This Row],[Product_id]],Products!A:A,Products!F:F)</f>
        <v>210000</v>
      </c>
      <c r="J201" s="10">
        <f>tblSales[[#This Row],[Quantity_sold]]*tblSales[[#This Row],[Unit_Price]]</f>
        <v>3150000</v>
      </c>
      <c r="K201" s="5" t="str">
        <f t="shared" ca="1" si="4"/>
        <v>POS</v>
      </c>
      <c r="L201" s="5" t="s">
        <v>256</v>
      </c>
      <c r="M201" s="5" t="s">
        <v>117</v>
      </c>
      <c r="N201" s="10">
        <f>tblSales[[#This Row],[Unit_Price]]*tblSales[[#This Row],[Quantity_sold]]-tblSales[[#This Row],[Cost_price]]*tblSales[[#This Row],[Quantity_sold]]</f>
        <v>975000</v>
      </c>
    </row>
    <row r="202" spans="1:14" x14ac:dyDescent="0.25">
      <c r="A202" s="5" t="s">
        <v>846</v>
      </c>
      <c r="B202" s="5" t="s">
        <v>32</v>
      </c>
      <c r="C202" t="str">
        <f>_xlfn.XLOOKUP(tblSales[[#This Row],[Product_id]],Products!A:A,Products!C:C)</f>
        <v>Agricultural Equipment</v>
      </c>
      <c r="D202" s="5" t="s">
        <v>522</v>
      </c>
      <c r="E202" s="6" t="s">
        <v>408</v>
      </c>
      <c r="F202" s="7">
        <v>45995</v>
      </c>
      <c r="G202" s="5">
        <v>1</v>
      </c>
      <c r="H202" s="10">
        <f>_xlfn.XLOOKUP(tblSales[[#This Row],[Product_id]],Products!A:A,Products!E:E)</f>
        <v>98000</v>
      </c>
      <c r="I202" s="10">
        <f>_xlfn.XLOOKUP(tblSales[[#This Row],[Product_id]],Products!A:A,Products!F:F)</f>
        <v>145000</v>
      </c>
      <c r="J202" s="10">
        <f>tblSales[[#This Row],[Quantity_sold]]*tblSales[[#This Row],[Unit_Price]]</f>
        <v>145000</v>
      </c>
      <c r="K202" s="5" t="str">
        <f t="shared" ca="1" si="4"/>
        <v>Cash</v>
      </c>
      <c r="L202" s="5" t="s">
        <v>648</v>
      </c>
      <c r="M202" s="5" t="s">
        <v>117</v>
      </c>
      <c r="N202" s="10">
        <f>tblSales[[#This Row],[Unit_Price]]*tblSales[[#This Row],[Quantity_sold]]-tblSales[[#This Row],[Cost_price]]*tblSales[[#This Row],[Quantity_sold]]</f>
        <v>47000</v>
      </c>
    </row>
    <row r="203" spans="1:14" x14ac:dyDescent="0.25">
      <c r="A203" s="5" t="s">
        <v>847</v>
      </c>
      <c r="B203" s="5" t="s">
        <v>102</v>
      </c>
      <c r="C203" t="str">
        <f>_xlfn.XLOOKUP(tblSales[[#This Row],[Product_id]],Products!A:A,Products!C:C)</f>
        <v>Harvesting Equipment</v>
      </c>
      <c r="D203" s="5" t="s">
        <v>479</v>
      </c>
      <c r="E203" s="6" t="s">
        <v>322</v>
      </c>
      <c r="F203" s="7">
        <v>46016</v>
      </c>
      <c r="G203" s="5">
        <v>3</v>
      </c>
      <c r="H203" s="10">
        <f>_xlfn.XLOOKUP(tblSales[[#This Row],[Product_id]],Products!A:A,Products!E:E)</f>
        <v>180000</v>
      </c>
      <c r="I203" s="10">
        <f>_xlfn.XLOOKUP(tblSales[[#This Row],[Product_id]],Products!A:A,Products!F:F)</f>
        <v>250000</v>
      </c>
      <c r="J203" s="10">
        <f>tblSales[[#This Row],[Quantity_sold]]*tblSales[[#This Row],[Unit_Price]]</f>
        <v>750000</v>
      </c>
      <c r="K203" s="5" t="str">
        <f t="shared" ca="1" si="4"/>
        <v>Transfer</v>
      </c>
      <c r="L203" s="5" t="s">
        <v>646</v>
      </c>
      <c r="M203" s="5" t="s">
        <v>115</v>
      </c>
      <c r="N203" s="10">
        <f>tblSales[[#This Row],[Unit_Price]]*tblSales[[#This Row],[Quantity_sold]]-tblSales[[#This Row],[Cost_price]]*tblSales[[#This Row],[Quantity_sold]]</f>
        <v>210000</v>
      </c>
    </row>
    <row r="204" spans="1:14" x14ac:dyDescent="0.25">
      <c r="A204" s="5" t="s">
        <v>848</v>
      </c>
      <c r="B204" s="5" t="s">
        <v>92</v>
      </c>
      <c r="C204" t="str">
        <f>_xlfn.XLOOKUP(tblSales[[#This Row],[Product_id]],Products!A:A,Products!C:C)</f>
        <v>Agricultural Machine</v>
      </c>
      <c r="D204" s="5" t="s">
        <v>482</v>
      </c>
      <c r="E204" s="6" t="s">
        <v>328</v>
      </c>
      <c r="F204" s="7">
        <v>45999</v>
      </c>
      <c r="G204" s="5">
        <v>19</v>
      </c>
      <c r="H204" s="10">
        <f>_xlfn.XLOOKUP(tblSales[[#This Row],[Product_id]],Products!A:A,Products!E:E)</f>
        <v>165000</v>
      </c>
      <c r="I204" s="10">
        <f>_xlfn.XLOOKUP(tblSales[[#This Row],[Product_id]],Products!A:A,Products!F:F)</f>
        <v>235000</v>
      </c>
      <c r="J204" s="10">
        <f>tblSales[[#This Row],[Quantity_sold]]*tblSales[[#This Row],[Unit_Price]]</f>
        <v>4465000</v>
      </c>
      <c r="K204" s="5" t="str">
        <f t="shared" ca="1" si="4"/>
        <v>Cash</v>
      </c>
      <c r="L204" s="5" t="s">
        <v>252</v>
      </c>
      <c r="M204" s="5" t="s">
        <v>116</v>
      </c>
      <c r="N204" s="10">
        <f>tblSales[[#This Row],[Unit_Price]]*tblSales[[#This Row],[Quantity_sold]]-tblSales[[#This Row],[Cost_price]]*tblSales[[#This Row],[Quantity_sold]]</f>
        <v>1330000</v>
      </c>
    </row>
    <row r="205" spans="1:14" x14ac:dyDescent="0.25">
      <c r="A205" s="5" t="s">
        <v>849</v>
      </c>
      <c r="B205" s="5" t="s">
        <v>65</v>
      </c>
      <c r="C205" t="str">
        <f>_xlfn.XLOOKUP(tblSales[[#This Row],[Product_id]],Products!A:A,Products!C:C)</f>
        <v>Power Equipment</v>
      </c>
      <c r="D205" s="5" t="s">
        <v>445</v>
      </c>
      <c r="E205" s="6" t="s">
        <v>254</v>
      </c>
      <c r="F205" s="7">
        <v>45999</v>
      </c>
      <c r="G205" s="5">
        <v>2</v>
      </c>
      <c r="H205" s="10">
        <f>_xlfn.XLOOKUP(tblSales[[#This Row],[Product_id]],Products!A:A,Products!E:E)</f>
        <v>52000</v>
      </c>
      <c r="I205" s="10">
        <f>_xlfn.XLOOKUP(tblSales[[#This Row],[Product_id]],Products!A:A,Products!F:F)</f>
        <v>78000</v>
      </c>
      <c r="J205" s="10">
        <f>tblSales[[#This Row],[Quantity_sold]]*tblSales[[#This Row],[Unit_Price]]</f>
        <v>156000</v>
      </c>
      <c r="K205" s="5" t="str">
        <f t="shared" ca="1" si="4"/>
        <v>Cash</v>
      </c>
      <c r="L205" s="5" t="s">
        <v>256</v>
      </c>
      <c r="M205" s="5" t="s">
        <v>114</v>
      </c>
      <c r="N205" s="10">
        <f>tblSales[[#This Row],[Unit_Price]]*tblSales[[#This Row],[Quantity_sold]]-tblSales[[#This Row],[Cost_price]]*tblSales[[#This Row],[Quantity_sold]]</f>
        <v>52000</v>
      </c>
    </row>
    <row r="206" spans="1:14" x14ac:dyDescent="0.25">
      <c r="A206" s="5" t="s">
        <v>850</v>
      </c>
      <c r="B206" s="5" t="s">
        <v>68</v>
      </c>
      <c r="C206" t="str">
        <f>_xlfn.XLOOKUP(tblSales[[#This Row],[Product_id]],Products!A:A,Products!C:C)</f>
        <v>Agricultural Equipment</v>
      </c>
      <c r="D206" s="5" t="s">
        <v>485</v>
      </c>
      <c r="E206" s="6" t="s">
        <v>334</v>
      </c>
      <c r="F206" s="7">
        <v>46036</v>
      </c>
      <c r="G206" s="5">
        <v>8</v>
      </c>
      <c r="H206" s="10">
        <f>_xlfn.XLOOKUP(tblSales[[#This Row],[Product_id]],Products!A:A,Products!E:E)</f>
        <v>9500</v>
      </c>
      <c r="I206" s="10">
        <f>_xlfn.XLOOKUP(tblSales[[#This Row],[Product_id]],Products!A:A,Products!F:F)</f>
        <v>16500</v>
      </c>
      <c r="J206" s="10">
        <f>tblSales[[#This Row],[Quantity_sold]]*tblSales[[#This Row],[Unit_Price]]</f>
        <v>132000</v>
      </c>
      <c r="K206" s="5" t="str">
        <f t="shared" ca="1" si="4"/>
        <v>POS</v>
      </c>
      <c r="L206" s="5" t="s">
        <v>256</v>
      </c>
      <c r="M206" s="5" t="s">
        <v>119</v>
      </c>
      <c r="N206" s="10">
        <f>tblSales[[#This Row],[Unit_Price]]*tblSales[[#This Row],[Quantity_sold]]-tblSales[[#This Row],[Cost_price]]*tblSales[[#This Row],[Quantity_sold]]</f>
        <v>56000</v>
      </c>
    </row>
    <row r="207" spans="1:14" x14ac:dyDescent="0.25">
      <c r="A207" s="5" t="s">
        <v>851</v>
      </c>
      <c r="B207" s="5" t="s">
        <v>85</v>
      </c>
      <c r="C207" t="str">
        <f>_xlfn.XLOOKUP(tblSales[[#This Row],[Product_id]],Products!A:A,Products!C:C)</f>
        <v>Industrial Equipment</v>
      </c>
      <c r="D207" s="5" t="s">
        <v>462</v>
      </c>
      <c r="E207" s="6" t="s">
        <v>288</v>
      </c>
      <c r="F207" s="7">
        <v>46041</v>
      </c>
      <c r="G207" s="5">
        <v>16</v>
      </c>
      <c r="H207" s="10">
        <f>_xlfn.XLOOKUP(tblSales[[#This Row],[Product_id]],Products!A:A,Products!E:E)</f>
        <v>42000</v>
      </c>
      <c r="I207" s="10">
        <f>_xlfn.XLOOKUP(tblSales[[#This Row],[Product_id]],Products!A:A,Products!F:F)</f>
        <v>68000</v>
      </c>
      <c r="J207" s="10">
        <f>tblSales[[#This Row],[Quantity_sold]]*tblSales[[#This Row],[Unit_Price]]</f>
        <v>1088000</v>
      </c>
      <c r="K207" s="5" t="str">
        <f t="shared" ca="1" si="4"/>
        <v>Transfer</v>
      </c>
      <c r="L207" s="5" t="s">
        <v>270</v>
      </c>
      <c r="M207" s="5" t="s">
        <v>879</v>
      </c>
      <c r="N207" s="10">
        <f>tblSales[[#This Row],[Unit_Price]]*tblSales[[#This Row],[Quantity_sold]]-tblSales[[#This Row],[Cost_price]]*tblSales[[#This Row],[Quantity_sold]]</f>
        <v>416000</v>
      </c>
    </row>
    <row r="208" spans="1:14" x14ac:dyDescent="0.25">
      <c r="A208" s="5" t="s">
        <v>852</v>
      </c>
      <c r="B208" s="5" t="s">
        <v>37</v>
      </c>
      <c r="C208" t="str">
        <f>_xlfn.XLOOKUP(tblSales[[#This Row],[Product_id]],Products!A:A,Products!C:C)</f>
        <v>Industrial Equipment</v>
      </c>
      <c r="D208" s="5" t="s">
        <v>353</v>
      </c>
      <c r="E208" s="6" t="s">
        <v>354</v>
      </c>
      <c r="F208" s="7">
        <v>46042</v>
      </c>
      <c r="G208" s="5">
        <v>5</v>
      </c>
      <c r="H208" s="10">
        <f>_xlfn.XLOOKUP(tblSales[[#This Row],[Product_id]],Products!A:A,Products!E:E)</f>
        <v>185000</v>
      </c>
      <c r="I208" s="10">
        <f>_xlfn.XLOOKUP(tblSales[[#This Row],[Product_id]],Products!A:A,Products!F:F)</f>
        <v>255000</v>
      </c>
      <c r="J208" s="10">
        <f>tblSales[[#This Row],[Quantity_sold]]*tblSales[[#This Row],[Unit_Price]]</f>
        <v>1275000</v>
      </c>
      <c r="K208" s="5" t="str">
        <f t="shared" ca="1" si="4"/>
        <v>POS</v>
      </c>
      <c r="L208" s="5" t="s">
        <v>252</v>
      </c>
      <c r="M208" s="5" t="s">
        <v>117</v>
      </c>
      <c r="N208" s="10">
        <f>tblSales[[#This Row],[Unit_Price]]*tblSales[[#This Row],[Quantity_sold]]-tblSales[[#This Row],[Cost_price]]*tblSales[[#This Row],[Quantity_sold]]</f>
        <v>350000</v>
      </c>
    </row>
    <row r="209" spans="1:14" x14ac:dyDescent="0.25">
      <c r="A209" s="5" t="s">
        <v>853</v>
      </c>
      <c r="B209" s="5" t="s">
        <v>77</v>
      </c>
      <c r="C209" t="str">
        <f>_xlfn.XLOOKUP(tblSales[[#This Row],[Product_id]],Products!A:A,Products!C:C)</f>
        <v>Agricultural Equipment</v>
      </c>
      <c r="D209" s="5" t="s">
        <v>613</v>
      </c>
      <c r="E209" s="6" t="s">
        <v>554</v>
      </c>
      <c r="F209" s="7">
        <v>46042</v>
      </c>
      <c r="G209" s="5">
        <v>1</v>
      </c>
      <c r="H209" s="10">
        <f>_xlfn.XLOOKUP(tblSales[[#This Row],[Product_id]],Products!A:A,Products!E:E)</f>
        <v>42000</v>
      </c>
      <c r="I209" s="10">
        <f>_xlfn.XLOOKUP(tblSales[[#This Row],[Product_id]],Products!A:A,Products!F:F)</f>
        <v>65000</v>
      </c>
      <c r="J209" s="10">
        <f>tblSales[[#This Row],[Quantity_sold]]*tblSales[[#This Row],[Unit_Price]]</f>
        <v>65000</v>
      </c>
      <c r="K209" s="5" t="str">
        <f t="shared" ca="1" si="4"/>
        <v>POS</v>
      </c>
      <c r="L209" s="5" t="s">
        <v>256</v>
      </c>
      <c r="M209" s="5" t="s">
        <v>114</v>
      </c>
      <c r="N209" s="10">
        <f>tblSales[[#This Row],[Unit_Price]]*tblSales[[#This Row],[Quantity_sold]]-tblSales[[#This Row],[Cost_price]]*tblSales[[#This Row],[Quantity_sold]]</f>
        <v>23000</v>
      </c>
    </row>
    <row r="210" spans="1:14" x14ac:dyDescent="0.25">
      <c r="A210" s="5" t="s">
        <v>854</v>
      </c>
      <c r="B210" s="5" t="s">
        <v>111</v>
      </c>
      <c r="C210" t="str">
        <f>_xlfn.XLOOKUP(tblSales[[#This Row],[Product_id]],Products!A:A,Products!C:C)</f>
        <v>Agricultural Equipment</v>
      </c>
      <c r="D210" s="5" t="s">
        <v>399</v>
      </c>
      <c r="E210" s="6" t="s">
        <v>400</v>
      </c>
      <c r="F210" s="7">
        <v>46047</v>
      </c>
      <c r="G210" s="5">
        <v>17</v>
      </c>
      <c r="H210" s="10">
        <f>_xlfn.XLOOKUP(tblSales[[#This Row],[Product_id]],Products!A:A,Products!E:E)</f>
        <v>26000</v>
      </c>
      <c r="I210" s="10">
        <f>_xlfn.XLOOKUP(tblSales[[#This Row],[Product_id]],Products!A:A,Products!F:F)</f>
        <v>38000</v>
      </c>
      <c r="J210" s="10">
        <f>tblSales[[#This Row],[Quantity_sold]]*tblSales[[#This Row],[Unit_Price]]</f>
        <v>646000</v>
      </c>
      <c r="K210" s="5" t="str">
        <f t="shared" ref="K210:K234" ca="1" si="5">CHOOSE(RANDBETWEEN(1,3), "Cash", "Transfer", "POS")</f>
        <v>POS</v>
      </c>
      <c r="L210" s="5" t="s">
        <v>252</v>
      </c>
      <c r="M210" s="5" t="s">
        <v>119</v>
      </c>
      <c r="N210" s="10">
        <f>tblSales[[#This Row],[Unit_Price]]*tblSales[[#This Row],[Quantity_sold]]-tblSales[[#This Row],[Cost_price]]*tblSales[[#This Row],[Quantity_sold]]</f>
        <v>204000</v>
      </c>
    </row>
    <row r="211" spans="1:14" x14ac:dyDescent="0.25">
      <c r="A211" s="5" t="s">
        <v>855</v>
      </c>
      <c r="B211" s="5" t="s">
        <v>90</v>
      </c>
      <c r="C211" t="str">
        <f>_xlfn.XLOOKUP(tblSales[[#This Row],[Product_id]],Products!A:A,Products!C:C)</f>
        <v>Power Equipment</v>
      </c>
      <c r="D211" s="5" t="s">
        <v>521</v>
      </c>
      <c r="E211" s="6" t="s">
        <v>406</v>
      </c>
      <c r="F211" s="7">
        <v>46028</v>
      </c>
      <c r="G211" s="5">
        <v>11</v>
      </c>
      <c r="H211" s="10">
        <f>_xlfn.XLOOKUP(tblSales[[#This Row],[Product_id]],Products!A:A,Products!E:E)</f>
        <v>29000</v>
      </c>
      <c r="I211" s="10">
        <f>_xlfn.XLOOKUP(tblSales[[#This Row],[Product_id]],Products!A:A,Products!F:F)</f>
        <v>46000</v>
      </c>
      <c r="J211" s="10">
        <f>tblSales[[#This Row],[Quantity_sold]]*tblSales[[#This Row],[Unit_Price]]</f>
        <v>506000</v>
      </c>
      <c r="K211" s="5" t="str">
        <f t="shared" ca="1" si="5"/>
        <v>Transfer</v>
      </c>
      <c r="L211" s="5" t="s">
        <v>256</v>
      </c>
      <c r="M211" s="5" t="s">
        <v>879</v>
      </c>
      <c r="N211" s="10">
        <f>tblSales[[#This Row],[Unit_Price]]*tblSales[[#This Row],[Quantity_sold]]-tblSales[[#This Row],[Cost_price]]*tblSales[[#This Row],[Quantity_sold]]</f>
        <v>187000</v>
      </c>
    </row>
    <row r="212" spans="1:14" x14ac:dyDescent="0.25">
      <c r="A212" s="5" t="s">
        <v>856</v>
      </c>
      <c r="B212" s="5" t="s">
        <v>90</v>
      </c>
      <c r="C212" t="str">
        <f>_xlfn.XLOOKUP(tblSales[[#This Row],[Product_id]],Products!A:A,Products!C:C)</f>
        <v>Power Equipment</v>
      </c>
      <c r="D212" s="5" t="s">
        <v>489</v>
      </c>
      <c r="E212" s="6" t="s">
        <v>342</v>
      </c>
      <c r="F212" s="7">
        <v>46026</v>
      </c>
      <c r="G212" s="5">
        <v>2</v>
      </c>
      <c r="H212" s="10">
        <f>_xlfn.XLOOKUP(tblSales[[#This Row],[Product_id]],Products!A:A,Products!E:E)</f>
        <v>29000</v>
      </c>
      <c r="I212" s="10">
        <f>_xlfn.XLOOKUP(tblSales[[#This Row],[Product_id]],Products!A:A,Products!F:F)</f>
        <v>46000</v>
      </c>
      <c r="J212" s="10">
        <f>tblSales[[#This Row],[Quantity_sold]]*tblSales[[#This Row],[Unit_Price]]</f>
        <v>92000</v>
      </c>
      <c r="K212" s="5" t="str">
        <f t="shared" ca="1" si="5"/>
        <v>Transfer</v>
      </c>
      <c r="L212" s="5" t="s">
        <v>252</v>
      </c>
      <c r="M212" s="5" t="s">
        <v>114</v>
      </c>
      <c r="N212" s="10">
        <f>tblSales[[#This Row],[Unit_Price]]*tblSales[[#This Row],[Quantity_sold]]-tblSales[[#This Row],[Cost_price]]*tblSales[[#This Row],[Quantity_sold]]</f>
        <v>34000</v>
      </c>
    </row>
    <row r="213" spans="1:14" x14ac:dyDescent="0.25">
      <c r="A213" s="5" t="s">
        <v>857</v>
      </c>
      <c r="B213" s="5" t="s">
        <v>25</v>
      </c>
      <c r="C213" t="str">
        <f>_xlfn.XLOOKUP(tblSales[[#This Row],[Product_id]],Products!A:A,Products!C:C)</f>
        <v>Processing Equipment</v>
      </c>
      <c r="D213" s="5" t="s">
        <v>452</v>
      </c>
      <c r="E213" s="6" t="s">
        <v>268</v>
      </c>
      <c r="F213" s="7">
        <v>46053</v>
      </c>
      <c r="G213" s="5">
        <v>14</v>
      </c>
      <c r="H213" s="10">
        <f>_xlfn.XLOOKUP(tblSales[[#This Row],[Product_id]],Products!A:A,Products!E:E)</f>
        <v>155000</v>
      </c>
      <c r="I213" s="10">
        <f>_xlfn.XLOOKUP(tblSales[[#This Row],[Product_id]],Products!A:A,Products!F:F)</f>
        <v>215000</v>
      </c>
      <c r="J213" s="10">
        <f>tblSales[[#This Row],[Quantity_sold]]*tblSales[[#This Row],[Unit_Price]]</f>
        <v>3010000</v>
      </c>
      <c r="K213" s="5" t="str">
        <f t="shared" ca="1" si="5"/>
        <v>POS</v>
      </c>
      <c r="L213" s="5" t="s">
        <v>252</v>
      </c>
      <c r="M213" s="5" t="s">
        <v>116</v>
      </c>
      <c r="N213" s="10">
        <f>tblSales[[#This Row],[Unit_Price]]*tblSales[[#This Row],[Quantity_sold]]-tblSales[[#This Row],[Cost_price]]*tblSales[[#This Row],[Quantity_sold]]</f>
        <v>840000</v>
      </c>
    </row>
    <row r="214" spans="1:14" x14ac:dyDescent="0.25">
      <c r="A214" s="5" t="s">
        <v>858</v>
      </c>
      <c r="B214" s="5" t="s">
        <v>15</v>
      </c>
      <c r="C214" t="str">
        <f>_xlfn.XLOOKUP(tblSales[[#This Row],[Product_id]],Products!A:A,Products!C:C)</f>
        <v>Agricultural Equipment</v>
      </c>
      <c r="D214" s="5" t="s">
        <v>599</v>
      </c>
      <c r="E214" s="6" t="s">
        <v>540</v>
      </c>
      <c r="F214" s="7">
        <v>46046</v>
      </c>
      <c r="G214" s="5">
        <v>3</v>
      </c>
      <c r="H214" s="10">
        <f>_xlfn.XLOOKUP(tblSales[[#This Row],[Product_id]],Products!A:A,Products!E:E)</f>
        <v>135000</v>
      </c>
      <c r="I214" s="10">
        <f>_xlfn.XLOOKUP(tblSales[[#This Row],[Product_id]],Products!A:A,Products!F:F)</f>
        <v>185000</v>
      </c>
      <c r="J214" s="10">
        <f>tblSales[[#This Row],[Quantity_sold]]*tblSales[[#This Row],[Unit_Price]]</f>
        <v>555000</v>
      </c>
      <c r="K214" s="5" t="str">
        <f t="shared" ca="1" si="5"/>
        <v>Cash</v>
      </c>
      <c r="L214" s="5" t="s">
        <v>651</v>
      </c>
      <c r="M214" s="5" t="s">
        <v>116</v>
      </c>
      <c r="N214" s="10">
        <f>tblSales[[#This Row],[Unit_Price]]*tblSales[[#This Row],[Quantity_sold]]-tblSales[[#This Row],[Cost_price]]*tblSales[[#This Row],[Quantity_sold]]</f>
        <v>150000</v>
      </c>
    </row>
    <row r="215" spans="1:14" x14ac:dyDescent="0.25">
      <c r="A215" s="5" t="s">
        <v>859</v>
      </c>
      <c r="B215" s="5" t="s">
        <v>12</v>
      </c>
      <c r="C215" t="str">
        <f>_xlfn.XLOOKUP(tblSales[[#This Row],[Product_id]],Products!A:A,Products!C:C)</f>
        <v>Agricultural Equipment</v>
      </c>
      <c r="D215" s="5" t="s">
        <v>502</v>
      </c>
      <c r="E215" s="6" t="s">
        <v>368</v>
      </c>
      <c r="F215" s="7">
        <v>46042</v>
      </c>
      <c r="G215" s="5">
        <v>14</v>
      </c>
      <c r="H215" s="10">
        <f>_xlfn.XLOOKUP(tblSales[[#This Row],[Product_id]],Products!A:A,Products!E:E)</f>
        <v>260000</v>
      </c>
      <c r="I215" s="10">
        <f>_xlfn.XLOOKUP(tblSales[[#This Row],[Product_id]],Products!A:A,Products!F:F)</f>
        <v>345000</v>
      </c>
      <c r="J215" s="10">
        <f>tblSales[[#This Row],[Quantity_sold]]*tblSales[[#This Row],[Unit_Price]]</f>
        <v>4830000</v>
      </c>
      <c r="K215" s="5" t="str">
        <f t="shared" ca="1" si="5"/>
        <v>Cash</v>
      </c>
      <c r="L215" s="5" t="s">
        <v>256</v>
      </c>
      <c r="M215" s="5" t="s">
        <v>119</v>
      </c>
      <c r="N215" s="10">
        <f>tblSales[[#This Row],[Unit_Price]]*tblSales[[#This Row],[Quantity_sold]]-tblSales[[#This Row],[Cost_price]]*tblSales[[#This Row],[Quantity_sold]]</f>
        <v>1190000</v>
      </c>
    </row>
    <row r="216" spans="1:14" x14ac:dyDescent="0.25">
      <c r="A216" s="5" t="s">
        <v>860</v>
      </c>
      <c r="B216" s="5" t="s">
        <v>61</v>
      </c>
      <c r="C216" t="str">
        <f>_xlfn.XLOOKUP(tblSales[[#This Row],[Product_id]],Products!A:A,Products!C:C)</f>
        <v>Processing Equipment</v>
      </c>
      <c r="D216" s="5" t="s">
        <v>589</v>
      </c>
      <c r="E216" s="6" t="s">
        <v>530</v>
      </c>
      <c r="F216" s="7">
        <v>46038</v>
      </c>
      <c r="G216" s="5">
        <v>11</v>
      </c>
      <c r="H216" s="10">
        <f>_xlfn.XLOOKUP(tblSales[[#This Row],[Product_id]],Products!A:A,Products!E:E)</f>
        <v>295000</v>
      </c>
      <c r="I216" s="10">
        <f>_xlfn.XLOOKUP(tblSales[[#This Row],[Product_id]],Products!A:A,Products!F:F)</f>
        <v>410000</v>
      </c>
      <c r="J216" s="10">
        <f>tblSales[[#This Row],[Quantity_sold]]*tblSales[[#This Row],[Unit_Price]]</f>
        <v>4510000</v>
      </c>
      <c r="K216" s="5" t="str">
        <f t="shared" ca="1" si="5"/>
        <v>Transfer</v>
      </c>
      <c r="L216" s="5" t="s">
        <v>646</v>
      </c>
      <c r="M216" s="5" t="s">
        <v>114</v>
      </c>
      <c r="N216" s="10">
        <f>tblSales[[#This Row],[Unit_Price]]*tblSales[[#This Row],[Quantity_sold]]-tblSales[[#This Row],[Cost_price]]*tblSales[[#This Row],[Quantity_sold]]</f>
        <v>1265000</v>
      </c>
    </row>
    <row r="217" spans="1:14" x14ac:dyDescent="0.25">
      <c r="A217" s="5" t="s">
        <v>861</v>
      </c>
      <c r="B217" s="5" t="s">
        <v>36</v>
      </c>
      <c r="C217" t="str">
        <f>_xlfn.XLOOKUP(tblSales[[#This Row],[Product_id]],Products!A:A,Products!C:C)</f>
        <v>Industrial Equipment</v>
      </c>
      <c r="D217" s="5" t="s">
        <v>601</v>
      </c>
      <c r="E217" s="6" t="s">
        <v>542</v>
      </c>
      <c r="F217" s="7">
        <v>46037</v>
      </c>
      <c r="G217" s="5">
        <v>9</v>
      </c>
      <c r="H217" s="10">
        <f>_xlfn.XLOOKUP(tblSales[[#This Row],[Product_id]],Products!A:A,Products!E:E)</f>
        <v>720000</v>
      </c>
      <c r="I217" s="10">
        <f>_xlfn.XLOOKUP(tblSales[[#This Row],[Product_id]],Products!A:A,Products!F:F)</f>
        <v>950000</v>
      </c>
      <c r="J217" s="10">
        <f>tblSales[[#This Row],[Quantity_sold]]*tblSales[[#This Row],[Unit_Price]]</f>
        <v>8550000</v>
      </c>
      <c r="K217" s="5" t="str">
        <f t="shared" ca="1" si="5"/>
        <v>POS</v>
      </c>
      <c r="L217" s="5" t="s">
        <v>646</v>
      </c>
      <c r="M217" s="5" t="s">
        <v>119</v>
      </c>
      <c r="N217" s="10">
        <f>tblSales[[#This Row],[Unit_Price]]*tblSales[[#This Row],[Quantity_sold]]-tblSales[[#This Row],[Cost_price]]*tblSales[[#This Row],[Quantity_sold]]</f>
        <v>2070000</v>
      </c>
    </row>
    <row r="218" spans="1:14" x14ac:dyDescent="0.25">
      <c r="A218" s="5" t="s">
        <v>862</v>
      </c>
      <c r="B218" s="5" t="s">
        <v>59</v>
      </c>
      <c r="C218" t="str">
        <f>_xlfn.XLOOKUP(tblSales[[#This Row],[Product_id]],Products!A:A,Products!C:C)</f>
        <v>Safety Equipment</v>
      </c>
      <c r="D218" s="5" t="s">
        <v>381</v>
      </c>
      <c r="E218" s="6" t="s">
        <v>382</v>
      </c>
      <c r="F218" s="7">
        <v>46042</v>
      </c>
      <c r="G218" s="5">
        <v>3</v>
      </c>
      <c r="H218" s="10">
        <f>_xlfn.XLOOKUP(tblSales[[#This Row],[Product_id]],Products!A:A,Products!E:E)</f>
        <v>22000</v>
      </c>
      <c r="I218" s="10">
        <f>_xlfn.XLOOKUP(tblSales[[#This Row],[Product_id]],Products!A:A,Products!F:F)</f>
        <v>36000</v>
      </c>
      <c r="J218" s="10">
        <f>tblSales[[#This Row],[Quantity_sold]]*tblSales[[#This Row],[Unit_Price]]</f>
        <v>108000</v>
      </c>
      <c r="K218" s="5" t="str">
        <f t="shared" ca="1" si="5"/>
        <v>Cash</v>
      </c>
      <c r="L218" s="5" t="s">
        <v>651</v>
      </c>
      <c r="M218" s="5" t="s">
        <v>114</v>
      </c>
      <c r="N218" s="10">
        <f>tblSales[[#This Row],[Unit_Price]]*tblSales[[#This Row],[Quantity_sold]]-tblSales[[#This Row],[Cost_price]]*tblSales[[#This Row],[Quantity_sold]]</f>
        <v>42000</v>
      </c>
    </row>
    <row r="219" spans="1:14" x14ac:dyDescent="0.25">
      <c r="A219" s="5" t="s">
        <v>863</v>
      </c>
      <c r="B219" s="5" t="s">
        <v>111</v>
      </c>
      <c r="C219" t="str">
        <f>_xlfn.XLOOKUP(tblSales[[#This Row],[Product_id]],Products!A:A,Products!C:C)</f>
        <v>Agricultural Equipment</v>
      </c>
      <c r="D219" s="5" t="s">
        <v>596</v>
      </c>
      <c r="E219" s="6" t="s">
        <v>537</v>
      </c>
      <c r="F219" s="7">
        <v>46050</v>
      </c>
      <c r="G219" s="5">
        <v>20</v>
      </c>
      <c r="H219" s="10">
        <f>_xlfn.XLOOKUP(tblSales[[#This Row],[Product_id]],Products!A:A,Products!E:E)</f>
        <v>26000</v>
      </c>
      <c r="I219" s="10">
        <f>_xlfn.XLOOKUP(tblSales[[#This Row],[Product_id]],Products!A:A,Products!F:F)</f>
        <v>38000</v>
      </c>
      <c r="J219" s="10">
        <f>tblSales[[#This Row],[Quantity_sold]]*tblSales[[#This Row],[Unit_Price]]</f>
        <v>760000</v>
      </c>
      <c r="K219" s="5" t="str">
        <f t="shared" ca="1" si="5"/>
        <v>Transfer</v>
      </c>
      <c r="L219" s="5" t="s">
        <v>646</v>
      </c>
      <c r="M219" s="5" t="s">
        <v>879</v>
      </c>
      <c r="N219" s="10">
        <f>tblSales[[#This Row],[Unit_Price]]*tblSales[[#This Row],[Quantity_sold]]-tblSales[[#This Row],[Cost_price]]*tblSales[[#This Row],[Quantity_sold]]</f>
        <v>240000</v>
      </c>
    </row>
    <row r="220" spans="1:14" x14ac:dyDescent="0.25">
      <c r="A220" s="5" t="s">
        <v>864</v>
      </c>
      <c r="B220" s="5" t="s">
        <v>109</v>
      </c>
      <c r="C220" t="str">
        <f>_xlfn.XLOOKUP(tblSales[[#This Row],[Product_id]],Products!A:A,Products!C:C)</f>
        <v>Agricultural Equipment</v>
      </c>
      <c r="D220" s="5" t="s">
        <v>327</v>
      </c>
      <c r="E220" s="6" t="s">
        <v>328</v>
      </c>
      <c r="F220" s="7">
        <v>46049</v>
      </c>
      <c r="G220" s="5">
        <v>13</v>
      </c>
      <c r="H220" s="10">
        <f>_xlfn.XLOOKUP(tblSales[[#This Row],[Product_id]],Products!A:A,Products!E:E)</f>
        <v>12000</v>
      </c>
      <c r="I220" s="10">
        <f>_xlfn.XLOOKUP(tblSales[[#This Row],[Product_id]],Products!A:A,Products!F:F)</f>
        <v>19000</v>
      </c>
      <c r="J220" s="10">
        <f>tblSales[[#This Row],[Quantity_sold]]*tblSales[[#This Row],[Unit_Price]]</f>
        <v>247000</v>
      </c>
      <c r="K220" s="5" t="str">
        <f t="shared" ca="1" si="5"/>
        <v>Cash</v>
      </c>
      <c r="L220" s="5" t="s">
        <v>256</v>
      </c>
      <c r="M220" s="5" t="s">
        <v>117</v>
      </c>
      <c r="N220" s="10">
        <f>tblSales[[#This Row],[Unit_Price]]*tblSales[[#This Row],[Quantity_sold]]-tblSales[[#This Row],[Cost_price]]*tblSales[[#This Row],[Quantity_sold]]</f>
        <v>91000</v>
      </c>
    </row>
    <row r="221" spans="1:14" x14ac:dyDescent="0.25">
      <c r="A221" s="5" t="s">
        <v>865</v>
      </c>
      <c r="B221" s="5" t="s">
        <v>110</v>
      </c>
      <c r="C221" t="str">
        <f>_xlfn.XLOOKUP(tblSales[[#This Row],[Product_id]],Products!A:A,Products!C:C)</f>
        <v>Storage Equipment</v>
      </c>
      <c r="D221" s="5" t="s">
        <v>630</v>
      </c>
      <c r="E221" s="6" t="s">
        <v>571</v>
      </c>
      <c r="F221" s="7">
        <v>46046</v>
      </c>
      <c r="G221" s="5">
        <v>7</v>
      </c>
      <c r="H221" s="10">
        <f>_xlfn.XLOOKUP(tblSales[[#This Row],[Product_id]],Products!A:A,Products!E:E)</f>
        <v>140000</v>
      </c>
      <c r="I221" s="10">
        <f>_xlfn.XLOOKUP(tblSales[[#This Row],[Product_id]],Products!A:A,Products!F:F)</f>
        <v>195000</v>
      </c>
      <c r="J221" s="10">
        <f>tblSales[[#This Row],[Quantity_sold]]*tblSales[[#This Row],[Unit_Price]]</f>
        <v>1365000</v>
      </c>
      <c r="K221" s="5" t="str">
        <f t="shared" ca="1" si="5"/>
        <v>Cash</v>
      </c>
      <c r="L221" s="5" t="s">
        <v>252</v>
      </c>
      <c r="M221" s="5" t="s">
        <v>119</v>
      </c>
      <c r="N221" s="10">
        <f>tblSales[[#This Row],[Unit_Price]]*tblSales[[#This Row],[Quantity_sold]]-tblSales[[#This Row],[Cost_price]]*tblSales[[#This Row],[Quantity_sold]]</f>
        <v>385000</v>
      </c>
    </row>
    <row r="222" spans="1:14" x14ac:dyDescent="0.25">
      <c r="A222" s="5" t="s">
        <v>866</v>
      </c>
      <c r="B222" s="5" t="s">
        <v>110</v>
      </c>
      <c r="C222" t="str">
        <f>_xlfn.XLOOKUP(tblSales[[#This Row],[Product_id]],Products!A:A,Products!C:C)</f>
        <v>Storage Equipment</v>
      </c>
      <c r="D222" s="5" t="s">
        <v>251</v>
      </c>
      <c r="E222" s="6" t="s">
        <v>252</v>
      </c>
      <c r="F222" s="7">
        <v>46029</v>
      </c>
      <c r="G222" s="5">
        <v>6</v>
      </c>
      <c r="H222" s="10">
        <f>_xlfn.XLOOKUP(tblSales[[#This Row],[Product_id]],Products!A:A,Products!E:E)</f>
        <v>140000</v>
      </c>
      <c r="I222" s="10">
        <f>_xlfn.XLOOKUP(tblSales[[#This Row],[Product_id]],Products!A:A,Products!F:F)</f>
        <v>195000</v>
      </c>
      <c r="J222" s="10">
        <f>tblSales[[#This Row],[Quantity_sold]]*tblSales[[#This Row],[Unit_Price]]</f>
        <v>1170000</v>
      </c>
      <c r="K222" s="5" t="str">
        <f t="shared" ca="1" si="5"/>
        <v>Cash</v>
      </c>
      <c r="L222" s="5" t="s">
        <v>270</v>
      </c>
      <c r="M222" s="5" t="s">
        <v>119</v>
      </c>
      <c r="N222" s="10">
        <f>tblSales[[#This Row],[Unit_Price]]*tblSales[[#This Row],[Quantity_sold]]-tblSales[[#This Row],[Cost_price]]*tblSales[[#This Row],[Quantity_sold]]</f>
        <v>330000</v>
      </c>
    </row>
    <row r="223" spans="1:14" x14ac:dyDescent="0.25">
      <c r="A223" s="5" t="s">
        <v>867</v>
      </c>
      <c r="B223" s="5" t="s">
        <v>45</v>
      </c>
      <c r="C223" t="str">
        <f>_xlfn.XLOOKUP(tblSales[[#This Row],[Product_id]],Products!A:A,Products!C:C)</f>
        <v>Power Equipment</v>
      </c>
      <c r="D223" s="5" t="s">
        <v>498</v>
      </c>
      <c r="E223" s="6" t="s">
        <v>360</v>
      </c>
      <c r="F223" s="7">
        <v>46072</v>
      </c>
      <c r="G223" s="5">
        <v>15</v>
      </c>
      <c r="H223" s="10">
        <f>_xlfn.XLOOKUP(tblSales[[#This Row],[Product_id]],Products!A:A,Products!E:E)</f>
        <v>275000</v>
      </c>
      <c r="I223" s="10">
        <f>_xlfn.XLOOKUP(tblSales[[#This Row],[Product_id]],Products!A:A,Products!F:F)</f>
        <v>380000</v>
      </c>
      <c r="J223" s="10">
        <f>tblSales[[#This Row],[Quantity_sold]]*tblSales[[#This Row],[Unit_Price]]</f>
        <v>5700000</v>
      </c>
      <c r="K223" s="5" t="str">
        <f t="shared" ca="1" si="5"/>
        <v>Cash</v>
      </c>
      <c r="L223" s="5" t="s">
        <v>252</v>
      </c>
      <c r="M223" s="5" t="s">
        <v>116</v>
      </c>
      <c r="N223" s="10">
        <f>tblSales[[#This Row],[Unit_Price]]*tblSales[[#This Row],[Quantity_sold]]-tblSales[[#This Row],[Cost_price]]*tblSales[[#This Row],[Quantity_sold]]</f>
        <v>1575000</v>
      </c>
    </row>
    <row r="224" spans="1:14" x14ac:dyDescent="0.25">
      <c r="A224" s="5" t="s">
        <v>868</v>
      </c>
      <c r="B224" s="5" t="s">
        <v>72</v>
      </c>
      <c r="C224" t="str">
        <f>_xlfn.XLOOKUP(tblSales[[#This Row],[Product_id]],Products!A:A,Products!C:C)</f>
        <v>Energy Equipment</v>
      </c>
      <c r="D224" s="5" t="s">
        <v>431</v>
      </c>
      <c r="E224" s="6" t="s">
        <v>432</v>
      </c>
      <c r="F224" s="7">
        <v>46076</v>
      </c>
      <c r="G224" s="5">
        <v>16</v>
      </c>
      <c r="H224" s="10">
        <f>_xlfn.XLOOKUP(tblSales[[#This Row],[Product_id]],Products!A:A,Products!E:E)</f>
        <v>480000</v>
      </c>
      <c r="I224" s="10">
        <f>_xlfn.XLOOKUP(tblSales[[#This Row],[Product_id]],Products!A:A,Products!F:F)</f>
        <v>650000</v>
      </c>
      <c r="J224" s="10">
        <f>tblSales[[#This Row],[Quantity_sold]]*tblSales[[#This Row],[Unit_Price]]</f>
        <v>10400000</v>
      </c>
      <c r="K224" s="5" t="str">
        <f t="shared" ca="1" si="5"/>
        <v>Cash</v>
      </c>
      <c r="L224" s="5" t="s">
        <v>252</v>
      </c>
      <c r="M224" s="5" t="s">
        <v>117</v>
      </c>
      <c r="N224" s="10">
        <f>tblSales[[#This Row],[Unit_Price]]*tblSales[[#This Row],[Quantity_sold]]-tblSales[[#This Row],[Cost_price]]*tblSales[[#This Row],[Quantity_sold]]</f>
        <v>2720000</v>
      </c>
    </row>
    <row r="225" spans="1:14" x14ac:dyDescent="0.25">
      <c r="A225" s="5" t="s">
        <v>869</v>
      </c>
      <c r="B225" s="5" t="s">
        <v>85</v>
      </c>
      <c r="C225" t="str">
        <f>_xlfn.XLOOKUP(tblSales[[#This Row],[Product_id]],Products!A:A,Products!C:C)</f>
        <v>Industrial Equipment</v>
      </c>
      <c r="D225" s="5" t="s">
        <v>460</v>
      </c>
      <c r="E225" s="6" t="s">
        <v>284</v>
      </c>
      <c r="F225" s="7">
        <v>46062</v>
      </c>
      <c r="G225" s="5">
        <v>9</v>
      </c>
      <c r="H225" s="10">
        <f>_xlfn.XLOOKUP(tblSales[[#This Row],[Product_id]],Products!A:A,Products!E:E)</f>
        <v>42000</v>
      </c>
      <c r="I225" s="10">
        <f>_xlfn.XLOOKUP(tblSales[[#This Row],[Product_id]],Products!A:A,Products!F:F)</f>
        <v>68000</v>
      </c>
      <c r="J225" s="10">
        <f>tblSales[[#This Row],[Quantity_sold]]*tblSales[[#This Row],[Unit_Price]]</f>
        <v>612000</v>
      </c>
      <c r="K225" s="5" t="str">
        <f t="shared" ca="1" si="5"/>
        <v>Cash</v>
      </c>
      <c r="L225" s="5" t="s">
        <v>648</v>
      </c>
      <c r="M225" s="5" t="s">
        <v>119</v>
      </c>
      <c r="N225" s="10">
        <f>tblSales[[#This Row],[Unit_Price]]*tblSales[[#This Row],[Quantity_sold]]-tblSales[[#This Row],[Cost_price]]*tblSales[[#This Row],[Quantity_sold]]</f>
        <v>234000</v>
      </c>
    </row>
    <row r="226" spans="1:14" x14ac:dyDescent="0.25">
      <c r="A226" s="5" t="s">
        <v>870</v>
      </c>
      <c r="B226" s="5" t="s">
        <v>37</v>
      </c>
      <c r="C226" t="str">
        <f>_xlfn.XLOOKUP(tblSales[[#This Row],[Product_id]],Products!A:A,Products!C:C)</f>
        <v>Industrial Equipment</v>
      </c>
      <c r="D226" s="5" t="s">
        <v>612</v>
      </c>
      <c r="E226" s="6" t="s">
        <v>553</v>
      </c>
      <c r="F226" s="7">
        <v>46056</v>
      </c>
      <c r="G226" s="5">
        <v>11</v>
      </c>
      <c r="H226" s="10">
        <f>_xlfn.XLOOKUP(tblSales[[#This Row],[Product_id]],Products!A:A,Products!E:E)</f>
        <v>185000</v>
      </c>
      <c r="I226" s="10">
        <f>_xlfn.XLOOKUP(tblSales[[#This Row],[Product_id]],Products!A:A,Products!F:F)</f>
        <v>255000</v>
      </c>
      <c r="J226" s="10">
        <f>tblSales[[#This Row],[Quantity_sold]]*tblSales[[#This Row],[Unit_Price]]</f>
        <v>2805000</v>
      </c>
      <c r="K226" s="5" t="str">
        <f t="shared" ca="1" si="5"/>
        <v>Cash</v>
      </c>
      <c r="L226" s="5" t="s">
        <v>256</v>
      </c>
      <c r="M226" s="5" t="s">
        <v>119</v>
      </c>
      <c r="N226" s="10">
        <f>tblSales[[#This Row],[Unit_Price]]*tblSales[[#This Row],[Quantity_sold]]-tblSales[[#This Row],[Cost_price]]*tblSales[[#This Row],[Quantity_sold]]</f>
        <v>770000</v>
      </c>
    </row>
    <row r="227" spans="1:14" x14ac:dyDescent="0.25">
      <c r="A227" s="5" t="s">
        <v>871</v>
      </c>
      <c r="B227" s="5" t="s">
        <v>75</v>
      </c>
      <c r="C227" t="str">
        <f>_xlfn.XLOOKUP(tblSales[[#This Row],[Product_id]],Products!A:A,Products!C:C)</f>
        <v>Agricultural Structure</v>
      </c>
      <c r="D227" s="5" t="s">
        <v>521</v>
      </c>
      <c r="E227" s="6" t="s">
        <v>406</v>
      </c>
      <c r="F227" s="7">
        <v>46057</v>
      </c>
      <c r="G227" s="5">
        <v>5</v>
      </c>
      <c r="H227" s="10">
        <f>_xlfn.XLOOKUP(tblSales[[#This Row],[Product_id]],Products!A:A,Products!E:E)</f>
        <v>520000</v>
      </c>
      <c r="I227" s="10">
        <f>_xlfn.XLOOKUP(tblSales[[#This Row],[Product_id]],Products!A:A,Products!F:F)</f>
        <v>710000</v>
      </c>
      <c r="J227" s="10">
        <f>tblSales[[#This Row],[Quantity_sold]]*tblSales[[#This Row],[Unit_Price]]</f>
        <v>3550000</v>
      </c>
      <c r="K227" s="5" t="str">
        <f t="shared" ca="1" si="5"/>
        <v>POS</v>
      </c>
      <c r="L227" s="5" t="s">
        <v>648</v>
      </c>
      <c r="M227" s="5" t="s">
        <v>879</v>
      </c>
      <c r="N227" s="10">
        <f>tblSales[[#This Row],[Unit_Price]]*tblSales[[#This Row],[Quantity_sold]]-tblSales[[#This Row],[Cost_price]]*tblSales[[#This Row],[Quantity_sold]]</f>
        <v>950000</v>
      </c>
    </row>
    <row r="228" spans="1:14" x14ac:dyDescent="0.25">
      <c r="A228" s="5" t="s">
        <v>872</v>
      </c>
      <c r="B228" s="5" t="s">
        <v>97</v>
      </c>
      <c r="C228" t="str">
        <f>_xlfn.XLOOKUP(tblSales[[#This Row],[Product_id]],Products!A:A,Products!C:C)</f>
        <v>Power Equipment</v>
      </c>
      <c r="D228" s="5" t="s">
        <v>504</v>
      </c>
      <c r="E228" s="6" t="s">
        <v>372</v>
      </c>
      <c r="F228" s="7">
        <v>46063</v>
      </c>
      <c r="G228" s="5">
        <v>18</v>
      </c>
      <c r="H228" s="10">
        <f>_xlfn.XLOOKUP(tblSales[[#This Row],[Product_id]],Products!A:A,Products!E:E)</f>
        <v>68000</v>
      </c>
      <c r="I228" s="10">
        <f>_xlfn.XLOOKUP(tblSales[[#This Row],[Product_id]],Products!A:A,Products!F:F)</f>
        <v>105000</v>
      </c>
      <c r="J228" s="10">
        <f>tblSales[[#This Row],[Quantity_sold]]*tblSales[[#This Row],[Unit_Price]]</f>
        <v>1890000</v>
      </c>
      <c r="K228" s="5" t="str">
        <f t="shared" ca="1" si="5"/>
        <v>Cash</v>
      </c>
      <c r="L228" s="5" t="s">
        <v>646</v>
      </c>
      <c r="M228" s="5" t="s">
        <v>117</v>
      </c>
      <c r="N228" s="10">
        <f>tblSales[[#This Row],[Unit_Price]]*tblSales[[#This Row],[Quantity_sold]]-tblSales[[#This Row],[Cost_price]]*tblSales[[#This Row],[Quantity_sold]]</f>
        <v>666000</v>
      </c>
    </row>
    <row r="229" spans="1:14" x14ac:dyDescent="0.25">
      <c r="A229" s="5" t="s">
        <v>873</v>
      </c>
      <c r="B229" s="5" t="s">
        <v>92</v>
      </c>
      <c r="C229" t="str">
        <f>_xlfn.XLOOKUP(tblSales[[#This Row],[Product_id]],Products!A:A,Products!C:C)</f>
        <v>Agricultural Machine</v>
      </c>
      <c r="D229" s="5" t="s">
        <v>303</v>
      </c>
      <c r="E229" s="6" t="s">
        <v>304</v>
      </c>
      <c r="F229" s="7">
        <v>46073</v>
      </c>
      <c r="G229" s="5">
        <v>17</v>
      </c>
      <c r="H229" s="10">
        <f>_xlfn.XLOOKUP(tblSales[[#This Row],[Product_id]],Products!A:A,Products!E:E)</f>
        <v>165000</v>
      </c>
      <c r="I229" s="10">
        <f>_xlfn.XLOOKUP(tblSales[[#This Row],[Product_id]],Products!A:A,Products!F:F)</f>
        <v>235000</v>
      </c>
      <c r="J229" s="10">
        <f>tblSales[[#This Row],[Quantity_sold]]*tblSales[[#This Row],[Unit_Price]]</f>
        <v>3995000</v>
      </c>
      <c r="K229" s="5" t="str">
        <f t="shared" ca="1" si="5"/>
        <v>Cash</v>
      </c>
      <c r="L229" s="5" t="s">
        <v>270</v>
      </c>
      <c r="M229" s="5" t="s">
        <v>117</v>
      </c>
      <c r="N229" s="10">
        <f>tblSales[[#This Row],[Unit_Price]]*tblSales[[#This Row],[Quantity_sold]]-tblSales[[#This Row],[Cost_price]]*tblSales[[#This Row],[Quantity_sold]]</f>
        <v>1190000</v>
      </c>
    </row>
    <row r="230" spans="1:14" x14ac:dyDescent="0.25">
      <c r="A230" s="5" t="s">
        <v>874</v>
      </c>
      <c r="B230" s="5" t="s">
        <v>72</v>
      </c>
      <c r="C230" t="str">
        <f>_xlfn.XLOOKUP(tblSales[[#This Row],[Product_id]],Products!A:A,Products!C:C)</f>
        <v>Energy Equipment</v>
      </c>
      <c r="D230" s="5" t="s">
        <v>397</v>
      </c>
      <c r="E230" s="6" t="s">
        <v>398</v>
      </c>
      <c r="F230" s="7">
        <v>46081</v>
      </c>
      <c r="G230" s="5">
        <v>17</v>
      </c>
      <c r="H230" s="10">
        <f>_xlfn.XLOOKUP(tblSales[[#This Row],[Product_id]],Products!A:A,Products!E:E)</f>
        <v>480000</v>
      </c>
      <c r="I230" s="10">
        <f>_xlfn.XLOOKUP(tblSales[[#This Row],[Product_id]],Products!A:A,Products!F:F)</f>
        <v>650000</v>
      </c>
      <c r="J230" s="10">
        <f>tblSales[[#This Row],[Quantity_sold]]*tblSales[[#This Row],[Unit_Price]]</f>
        <v>11050000</v>
      </c>
      <c r="K230" s="5" t="str">
        <f t="shared" ca="1" si="5"/>
        <v>Cash</v>
      </c>
      <c r="L230" s="5" t="s">
        <v>270</v>
      </c>
      <c r="M230" s="5" t="s">
        <v>115</v>
      </c>
      <c r="N230" s="10">
        <f>tblSales[[#This Row],[Unit_Price]]*tblSales[[#This Row],[Quantity_sold]]-tblSales[[#This Row],[Cost_price]]*tblSales[[#This Row],[Quantity_sold]]</f>
        <v>2890000</v>
      </c>
    </row>
    <row r="231" spans="1:14" x14ac:dyDescent="0.25">
      <c r="A231" s="5" t="s">
        <v>875</v>
      </c>
      <c r="B231" s="5" t="s">
        <v>80</v>
      </c>
      <c r="C231" t="str">
        <f>_xlfn.XLOOKUP(tblSales[[#This Row],[Product_id]],Products!A:A,Products!C:C)</f>
        <v>Agricultural Equipment</v>
      </c>
      <c r="D231" s="5" t="s">
        <v>333</v>
      </c>
      <c r="E231" s="6" t="s">
        <v>334</v>
      </c>
      <c r="F231" s="7">
        <v>46062</v>
      </c>
      <c r="G231" s="5">
        <v>6</v>
      </c>
      <c r="H231" s="10">
        <f>_xlfn.XLOOKUP(tblSales[[#This Row],[Product_id]],Products!A:A,Products!E:E)</f>
        <v>88000</v>
      </c>
      <c r="I231" s="10">
        <f>_xlfn.XLOOKUP(tblSales[[#This Row],[Product_id]],Products!A:A,Products!F:F)</f>
        <v>130000</v>
      </c>
      <c r="J231" s="10">
        <f>tblSales[[#This Row],[Quantity_sold]]*tblSales[[#This Row],[Unit_Price]]</f>
        <v>780000</v>
      </c>
      <c r="K231" s="5" t="str">
        <f t="shared" ca="1" si="5"/>
        <v>Transfer</v>
      </c>
      <c r="L231" s="5" t="s">
        <v>651</v>
      </c>
      <c r="M231" s="5" t="s">
        <v>116</v>
      </c>
      <c r="N231" s="10">
        <f>tblSales[[#This Row],[Unit_Price]]*tblSales[[#This Row],[Quantity_sold]]-tblSales[[#This Row],[Cost_price]]*tblSales[[#This Row],[Quantity_sold]]</f>
        <v>252000</v>
      </c>
    </row>
    <row r="232" spans="1:14" x14ac:dyDescent="0.25">
      <c r="A232" s="5" t="s">
        <v>876</v>
      </c>
      <c r="B232" s="5" t="s">
        <v>52</v>
      </c>
      <c r="C232" t="str">
        <f>_xlfn.XLOOKUP(tblSales[[#This Row],[Product_id]],Products!A:A,Products!C:C)</f>
        <v>Fabrication Tools</v>
      </c>
      <c r="D232" s="5" t="s">
        <v>499</v>
      </c>
      <c r="E232" s="6" t="s">
        <v>362</v>
      </c>
      <c r="F232" s="7">
        <v>46055</v>
      </c>
      <c r="G232" s="5">
        <v>1</v>
      </c>
      <c r="H232" s="10">
        <f>_xlfn.XLOOKUP(tblSales[[#This Row],[Product_id]],Products!A:A,Products!E:E)</f>
        <v>75000</v>
      </c>
      <c r="I232" s="10">
        <f>_xlfn.XLOOKUP(tblSales[[#This Row],[Product_id]],Products!A:A,Products!F:F)</f>
        <v>110000</v>
      </c>
      <c r="J232" s="10">
        <f>tblSales[[#This Row],[Quantity_sold]]*tblSales[[#This Row],[Unit_Price]]</f>
        <v>110000</v>
      </c>
      <c r="K232" s="5" t="str">
        <f t="shared" ca="1" si="5"/>
        <v>Cash</v>
      </c>
      <c r="L232" s="5" t="s">
        <v>646</v>
      </c>
      <c r="M232" s="5" t="s">
        <v>114</v>
      </c>
      <c r="N232" s="10">
        <f>tblSales[[#This Row],[Unit_Price]]*tblSales[[#This Row],[Quantity_sold]]-tblSales[[#This Row],[Cost_price]]*tblSales[[#This Row],[Quantity_sold]]</f>
        <v>35000</v>
      </c>
    </row>
    <row r="233" spans="1:14" x14ac:dyDescent="0.25">
      <c r="A233" s="5" t="s">
        <v>877</v>
      </c>
      <c r="B233" s="5" t="s">
        <v>79</v>
      </c>
      <c r="C233" t="str">
        <f>_xlfn.XLOOKUP(tblSales[[#This Row],[Product_id]],Products!A:A,Products!C:C)</f>
        <v>Processing Equipment</v>
      </c>
      <c r="D233" s="5" t="s">
        <v>503</v>
      </c>
      <c r="E233" s="6" t="s">
        <v>370</v>
      </c>
      <c r="F233" s="7">
        <v>46074</v>
      </c>
      <c r="G233" s="5">
        <v>20</v>
      </c>
      <c r="H233" s="10">
        <f>_xlfn.XLOOKUP(tblSales[[#This Row],[Product_id]],Products!A:A,Products!E:E)</f>
        <v>390000</v>
      </c>
      <c r="I233" s="10">
        <f>_xlfn.XLOOKUP(tblSales[[#This Row],[Product_id]],Products!A:A,Products!F:F)</f>
        <v>540000</v>
      </c>
      <c r="J233" s="10">
        <f>tblSales[[#This Row],[Quantity_sold]]*tblSales[[#This Row],[Unit_Price]]</f>
        <v>10800000</v>
      </c>
      <c r="K233" s="5" t="str">
        <f t="shared" ca="1" si="5"/>
        <v>Cash</v>
      </c>
      <c r="L233" s="5" t="s">
        <v>256</v>
      </c>
      <c r="M233" s="5" t="s">
        <v>114</v>
      </c>
      <c r="N233" s="10">
        <f>tblSales[[#This Row],[Unit_Price]]*tblSales[[#This Row],[Quantity_sold]]-tblSales[[#This Row],[Cost_price]]*tblSales[[#This Row],[Quantity_sold]]</f>
        <v>3000000</v>
      </c>
    </row>
    <row r="234" spans="1:14" x14ac:dyDescent="0.25">
      <c r="A234" s="5" t="s">
        <v>878</v>
      </c>
      <c r="B234" s="5" t="s">
        <v>38</v>
      </c>
      <c r="C234" t="str">
        <f>_xlfn.XLOOKUP(tblSales[[#This Row],[Product_id]],Products!A:A,Products!C:C)</f>
        <v>Industrial Equipment</v>
      </c>
      <c r="D234" s="5" t="s">
        <v>476</v>
      </c>
      <c r="E234" s="6" t="s">
        <v>316</v>
      </c>
      <c r="F234" s="7">
        <v>46056</v>
      </c>
      <c r="G234" s="5">
        <v>3</v>
      </c>
      <c r="H234" s="10">
        <f>_xlfn.XLOOKUP(tblSales[[#This Row],[Product_id]],Products!A:A,Products!E:E)</f>
        <v>210000</v>
      </c>
      <c r="I234" s="10">
        <f>_xlfn.XLOOKUP(tblSales[[#This Row],[Product_id]],Products!A:A,Products!F:F)</f>
        <v>295000</v>
      </c>
      <c r="J234" s="10">
        <f>tblSales[[#This Row],[Quantity_sold]]*tblSales[[#This Row],[Unit_Price]]</f>
        <v>885000</v>
      </c>
      <c r="K234" s="5" t="str">
        <f t="shared" ca="1" si="5"/>
        <v>Transfer</v>
      </c>
      <c r="L234" s="5" t="s">
        <v>270</v>
      </c>
      <c r="M234" s="5" t="s">
        <v>114</v>
      </c>
      <c r="N234" s="10">
        <f>tblSales[[#This Row],[Unit_Price]]*tblSales[[#This Row],[Quantity_sold]]-tblSales[[#This Row],[Cost_price]]*tblSales[[#This Row],[Quantity_sold]]</f>
        <v>255000</v>
      </c>
    </row>
  </sheetData>
  <sheetProtection selectLockedCells="1"/>
  <phoneticPr fontId="1" type="noConversion"/>
  <dataValidations count="2">
    <dataValidation type="list" errorStyle="information" allowBlank="1" showInputMessage="1" showErrorMessage="1" error="Invalid" prompt="Cash_x000a_Transfer_x000a_POS" sqref="K1:K1048576" xr:uid="{FE3BA347-5A74-4E89-B9CE-4B769D32AE51}">
      <formula1>$K:$K</formula1>
    </dataValidation>
    <dataValidation type="list" allowBlank="1" showInputMessage="1" showErrorMessage="1" sqref="D1:D1048576" xr:uid="{1D47C1CA-1216-4E51-BA0F-3C678ADA7DEC}">
      <formula1>$D:$D</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29DF153-9A55-4FD1-B43B-05D973E3C3AF}">
          <x14:formula1>
            <xm:f>Products!$A:$A</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3F8F-1977-40E7-9798-F8640E52F5A6}">
  <dimension ref="A1:M126"/>
  <sheetViews>
    <sheetView zoomScale="75" zoomScaleNormal="75" workbookViewId="0">
      <selection activeCell="F2" sqref="F2"/>
    </sheetView>
  </sheetViews>
  <sheetFormatPr defaultRowHeight="15" x14ac:dyDescent="0.25"/>
  <cols>
    <col min="1" max="1" width="15.7109375" style="5" customWidth="1"/>
    <col min="2" max="2" width="23" style="5" customWidth="1"/>
    <col min="3" max="3" width="22.28515625" style="5" customWidth="1"/>
    <col min="4" max="5" width="23.5703125" style="5" customWidth="1"/>
    <col min="6" max="6" width="19.85546875" style="12" customWidth="1"/>
    <col min="7" max="7" width="24.7109375" style="5" customWidth="1"/>
    <col min="8" max="8" width="22.140625" customWidth="1"/>
    <col min="9" max="9" width="24.140625" customWidth="1"/>
    <col min="10" max="10" width="25.42578125" style="5" customWidth="1"/>
    <col min="11" max="11" width="25.28515625" style="5" customWidth="1"/>
    <col min="12" max="12" width="14.28515625" customWidth="1"/>
    <col min="13" max="13" width="22.85546875" customWidth="1"/>
    <col min="14" max="16384" width="9.140625" style="5"/>
  </cols>
  <sheetData>
    <row r="1" spans="1:13" s="2" customFormat="1" ht="17.25" x14ac:dyDescent="0.3">
      <c r="A1" s="2" t="s">
        <v>888</v>
      </c>
      <c r="B1" s="2" t="s">
        <v>887</v>
      </c>
      <c r="C1" s="2" t="s">
        <v>0</v>
      </c>
      <c r="D1" s="2" t="s">
        <v>919</v>
      </c>
      <c r="E1" s="2" t="s">
        <v>947</v>
      </c>
      <c r="F1" s="11" t="s">
        <v>883</v>
      </c>
      <c r="G1" s="2" t="s">
        <v>920</v>
      </c>
      <c r="H1" s="8" t="s">
        <v>884</v>
      </c>
      <c r="I1" s="8" t="s">
        <v>921</v>
      </c>
      <c r="J1" s="2" t="s">
        <v>1</v>
      </c>
      <c r="K1" s="2" t="s">
        <v>922</v>
      </c>
      <c r="L1" s="8" t="s">
        <v>131</v>
      </c>
      <c r="M1" s="8" t="s">
        <v>923</v>
      </c>
    </row>
    <row r="2" spans="1:13" x14ac:dyDescent="0.25">
      <c r="A2" s="5" t="s">
        <v>2</v>
      </c>
      <c r="B2" s="5" t="s">
        <v>132</v>
      </c>
      <c r="C2" s="5" t="s">
        <v>133</v>
      </c>
      <c r="D2" s="6">
        <v>45301</v>
      </c>
      <c r="E2" s="22">
        <v>120000</v>
      </c>
      <c r="F2" s="12">
        <v>165000</v>
      </c>
      <c r="G2" s="5">
        <v>200</v>
      </c>
      <c r="H2">
        <f>SUMIFS(Sales!G:G,Sales!B:B,tblProducts[[#This Row],[Product_id]])</f>
        <v>40</v>
      </c>
      <c r="I2">
        <f t="shared" ref="I2:I33" si="0">G2-H2</f>
        <v>160</v>
      </c>
      <c r="J2" s="5" t="s">
        <v>130</v>
      </c>
      <c r="K2" s="5">
        <v>24</v>
      </c>
      <c r="L2" t="str">
        <f>IF(I2=0,"Not Available","Available")</f>
        <v>Available</v>
      </c>
      <c r="M2" t="str">
        <f>IF(I2&lt;50,"Low Stock","Sufficient Stock")</f>
        <v>Sufficient Stock</v>
      </c>
    </row>
    <row r="3" spans="1:13" x14ac:dyDescent="0.25">
      <c r="A3" s="5" t="s">
        <v>4</v>
      </c>
      <c r="B3" s="5" t="s">
        <v>134</v>
      </c>
      <c r="C3" s="5" t="s">
        <v>133</v>
      </c>
      <c r="D3" s="6">
        <v>45306</v>
      </c>
      <c r="E3" s="22">
        <v>180000</v>
      </c>
      <c r="F3" s="12">
        <v>245000</v>
      </c>
      <c r="G3" s="5">
        <v>180</v>
      </c>
      <c r="H3">
        <f>SUMIFS(Sales!G:G,Sales!B:B,tblProducts[[#This Row],[Product_id]])</f>
        <v>7</v>
      </c>
      <c r="I3">
        <f t="shared" si="0"/>
        <v>173</v>
      </c>
      <c r="J3" s="5" t="s">
        <v>130</v>
      </c>
      <c r="K3" s="5">
        <v>24</v>
      </c>
      <c r="L3" t="str">
        <f t="shared" ref="L3:L66" si="1">IF(I3=0,"Not Available","Available")</f>
        <v>Available</v>
      </c>
      <c r="M3" t="str">
        <f t="shared" ref="M3:M66" si="2">IF(I3&lt;50,"Low Stock","Sufficient Stock")</f>
        <v>Sufficient Stock</v>
      </c>
    </row>
    <row r="4" spans="1:13" x14ac:dyDescent="0.25">
      <c r="A4" s="5" t="s">
        <v>6</v>
      </c>
      <c r="B4" s="5" t="s">
        <v>135</v>
      </c>
      <c r="C4" s="5" t="s">
        <v>133</v>
      </c>
      <c r="D4" s="6">
        <v>45311</v>
      </c>
      <c r="E4" s="22">
        <v>95000</v>
      </c>
      <c r="F4" s="12">
        <v>135000</v>
      </c>
      <c r="G4" s="5">
        <v>160</v>
      </c>
      <c r="H4">
        <f>SUMIFS(Sales!G:G,Sales!B:B,tblProducts[[#This Row],[Product_id]])</f>
        <v>43</v>
      </c>
      <c r="I4">
        <f t="shared" si="0"/>
        <v>117</v>
      </c>
      <c r="J4" s="5" t="s">
        <v>130</v>
      </c>
      <c r="K4" s="5">
        <v>24</v>
      </c>
      <c r="L4" t="str">
        <f t="shared" si="1"/>
        <v>Available</v>
      </c>
      <c r="M4" t="str">
        <f t="shared" si="2"/>
        <v>Sufficient Stock</v>
      </c>
    </row>
    <row r="5" spans="1:13" x14ac:dyDescent="0.25">
      <c r="A5" s="5" t="s">
        <v>8</v>
      </c>
      <c r="B5" s="5" t="s">
        <v>136</v>
      </c>
      <c r="C5" s="5" t="s">
        <v>925</v>
      </c>
      <c r="D5" s="6">
        <v>45313</v>
      </c>
      <c r="E5" s="22">
        <v>210000</v>
      </c>
      <c r="F5" s="12">
        <v>290000</v>
      </c>
      <c r="G5" s="5">
        <v>60</v>
      </c>
      <c r="H5">
        <f>SUMIFS(Sales!G:G,Sales!B:B,tblProducts[[#This Row],[Product_id]])</f>
        <v>0</v>
      </c>
      <c r="I5">
        <f t="shared" si="0"/>
        <v>60</v>
      </c>
      <c r="J5" s="5" t="s">
        <v>130</v>
      </c>
      <c r="K5" s="5">
        <v>24</v>
      </c>
      <c r="L5" t="str">
        <f t="shared" si="1"/>
        <v>Available</v>
      </c>
      <c r="M5" t="str">
        <f t="shared" si="2"/>
        <v>Sufficient Stock</v>
      </c>
    </row>
    <row r="6" spans="1:13" x14ac:dyDescent="0.25">
      <c r="A6" s="5" t="s">
        <v>10</v>
      </c>
      <c r="B6" s="5" t="s">
        <v>137</v>
      </c>
      <c r="C6" s="5" t="s">
        <v>925</v>
      </c>
      <c r="D6" s="6">
        <v>45323</v>
      </c>
      <c r="E6" s="22">
        <v>520000</v>
      </c>
      <c r="F6" s="12">
        <v>680000</v>
      </c>
      <c r="G6" s="5">
        <v>170</v>
      </c>
      <c r="H6">
        <f>SUMIFS(Sales!G:G,Sales!B:B,tblProducts[[#This Row],[Product_id]])</f>
        <v>11</v>
      </c>
      <c r="I6">
        <f t="shared" si="0"/>
        <v>159</v>
      </c>
      <c r="J6" s="5" t="s">
        <v>130</v>
      </c>
      <c r="K6" s="5">
        <v>24</v>
      </c>
      <c r="L6" t="str">
        <f t="shared" si="1"/>
        <v>Available</v>
      </c>
      <c r="M6" t="str">
        <f t="shared" si="2"/>
        <v>Sufficient Stock</v>
      </c>
    </row>
    <row r="7" spans="1:13" x14ac:dyDescent="0.25">
      <c r="A7" s="5" t="s">
        <v>12</v>
      </c>
      <c r="B7" s="5" t="s">
        <v>138</v>
      </c>
      <c r="C7" s="5" t="s">
        <v>927</v>
      </c>
      <c r="D7" s="6">
        <v>45327</v>
      </c>
      <c r="E7" s="22">
        <v>260000</v>
      </c>
      <c r="F7" s="12">
        <v>345000</v>
      </c>
      <c r="G7" s="5">
        <v>150</v>
      </c>
      <c r="H7">
        <f>SUMIFS(Sales!G:G,Sales!B:B,tblProducts[[#This Row],[Product_id]])</f>
        <v>19</v>
      </c>
      <c r="I7">
        <f t="shared" si="0"/>
        <v>131</v>
      </c>
      <c r="J7" s="5" t="s">
        <v>130</v>
      </c>
      <c r="K7" s="5">
        <v>24</v>
      </c>
      <c r="L7" t="str">
        <f t="shared" si="1"/>
        <v>Available</v>
      </c>
      <c r="M7" t="str">
        <f t="shared" si="2"/>
        <v>Sufficient Stock</v>
      </c>
    </row>
    <row r="8" spans="1:13" x14ac:dyDescent="0.25">
      <c r="A8" s="5" t="s">
        <v>13</v>
      </c>
      <c r="B8" s="5" t="s">
        <v>123</v>
      </c>
      <c r="C8" s="5" t="s">
        <v>927</v>
      </c>
      <c r="D8" s="6">
        <v>45329</v>
      </c>
      <c r="E8" s="22">
        <v>18000</v>
      </c>
      <c r="F8" s="12">
        <v>28000</v>
      </c>
      <c r="G8" s="5">
        <v>80</v>
      </c>
      <c r="H8">
        <f>SUMIFS(Sales!G:G,Sales!B:B,tblProducts[[#This Row],[Product_id]])</f>
        <v>17</v>
      </c>
      <c r="I8">
        <f t="shared" si="0"/>
        <v>63</v>
      </c>
      <c r="J8" s="5" t="s">
        <v>130</v>
      </c>
      <c r="K8" s="5">
        <v>24</v>
      </c>
      <c r="L8" t="str">
        <f t="shared" si="1"/>
        <v>Available</v>
      </c>
      <c r="M8" t="str">
        <f t="shared" si="2"/>
        <v>Sufficient Stock</v>
      </c>
    </row>
    <row r="9" spans="1:13" x14ac:dyDescent="0.25">
      <c r="A9" s="5" t="s">
        <v>14</v>
      </c>
      <c r="B9" s="5" t="s">
        <v>139</v>
      </c>
      <c r="C9" s="5" t="s">
        <v>927</v>
      </c>
      <c r="D9" s="6">
        <v>45329</v>
      </c>
      <c r="E9" s="22">
        <v>15000</v>
      </c>
      <c r="F9" s="12">
        <v>24000</v>
      </c>
      <c r="G9" s="5">
        <v>50</v>
      </c>
      <c r="H9">
        <f>SUMIFS(Sales!G:G,Sales!B:B,tblProducts[[#This Row],[Product_id]])</f>
        <v>21</v>
      </c>
      <c r="I9">
        <f t="shared" si="0"/>
        <v>29</v>
      </c>
      <c r="J9" s="5" t="s">
        <v>130</v>
      </c>
      <c r="K9" s="5">
        <v>24</v>
      </c>
      <c r="L9" t="str">
        <f t="shared" si="1"/>
        <v>Available</v>
      </c>
      <c r="M9" t="str">
        <f t="shared" si="2"/>
        <v>Low Stock</v>
      </c>
    </row>
    <row r="10" spans="1:13" x14ac:dyDescent="0.25">
      <c r="A10" s="5" t="s">
        <v>15</v>
      </c>
      <c r="B10" s="5" t="s">
        <v>140</v>
      </c>
      <c r="C10" s="5" t="s">
        <v>927</v>
      </c>
      <c r="D10" s="6">
        <v>45334</v>
      </c>
      <c r="E10" s="22">
        <v>135000</v>
      </c>
      <c r="F10" s="12">
        <v>185000</v>
      </c>
      <c r="G10" s="5">
        <v>90</v>
      </c>
      <c r="H10">
        <f>SUMIFS(Sales!G:G,Sales!B:B,tblProducts[[#This Row],[Product_id]])</f>
        <v>10</v>
      </c>
      <c r="I10">
        <f t="shared" si="0"/>
        <v>80</v>
      </c>
      <c r="J10" s="5" t="s">
        <v>130</v>
      </c>
      <c r="K10" s="5">
        <v>24</v>
      </c>
      <c r="L10" t="str">
        <f t="shared" si="1"/>
        <v>Available</v>
      </c>
      <c r="M10" t="str">
        <f t="shared" si="2"/>
        <v>Sufficient Stock</v>
      </c>
    </row>
    <row r="11" spans="1:13" x14ac:dyDescent="0.25">
      <c r="A11" s="5" t="s">
        <v>16</v>
      </c>
      <c r="B11" s="5" t="s">
        <v>141</v>
      </c>
      <c r="C11" s="5" t="s">
        <v>925</v>
      </c>
      <c r="D11" s="6">
        <v>45337</v>
      </c>
      <c r="E11" s="22">
        <v>310000</v>
      </c>
      <c r="F11" s="12">
        <v>420000</v>
      </c>
      <c r="G11" s="5">
        <v>140</v>
      </c>
      <c r="H11">
        <f>SUMIFS(Sales!G:G,Sales!B:B,tblProducts[[#This Row],[Product_id]])</f>
        <v>10</v>
      </c>
      <c r="I11">
        <f t="shared" si="0"/>
        <v>130</v>
      </c>
      <c r="J11" s="5" t="s">
        <v>130</v>
      </c>
      <c r="K11" s="5">
        <v>24</v>
      </c>
      <c r="L11" t="str">
        <f t="shared" si="1"/>
        <v>Available</v>
      </c>
      <c r="M11" t="str">
        <f t="shared" si="2"/>
        <v>Sufficient Stock</v>
      </c>
    </row>
    <row r="12" spans="1:13" x14ac:dyDescent="0.25">
      <c r="A12" s="5" t="s">
        <v>17</v>
      </c>
      <c r="B12" s="5" t="s">
        <v>142</v>
      </c>
      <c r="C12" s="5" t="s">
        <v>928</v>
      </c>
      <c r="D12" s="6">
        <v>45340</v>
      </c>
      <c r="E12" s="22">
        <v>85000</v>
      </c>
      <c r="F12" s="12">
        <v>120000</v>
      </c>
      <c r="G12" s="5">
        <v>210</v>
      </c>
      <c r="H12">
        <f>SUMIFS(Sales!G:G,Sales!B:B,tblProducts[[#This Row],[Product_id]])</f>
        <v>0</v>
      </c>
      <c r="I12">
        <f t="shared" si="0"/>
        <v>210</v>
      </c>
      <c r="J12" s="5" t="s">
        <v>130</v>
      </c>
      <c r="K12" s="5">
        <v>24</v>
      </c>
      <c r="L12" t="str">
        <f t="shared" si="1"/>
        <v>Available</v>
      </c>
      <c r="M12" t="str">
        <f t="shared" si="2"/>
        <v>Sufficient Stock</v>
      </c>
    </row>
    <row r="13" spans="1:13" x14ac:dyDescent="0.25">
      <c r="A13" s="5" t="s">
        <v>18</v>
      </c>
      <c r="B13" s="5" t="s">
        <v>143</v>
      </c>
      <c r="C13" s="5" t="s">
        <v>927</v>
      </c>
      <c r="D13" s="6">
        <v>45342</v>
      </c>
      <c r="E13" s="22">
        <v>42000</v>
      </c>
      <c r="F13" s="12">
        <v>65000</v>
      </c>
      <c r="G13" s="5">
        <v>50</v>
      </c>
      <c r="H13">
        <f>SUMIFS(Sales!G:G,Sales!B:B,tblProducts[[#This Row],[Product_id]])</f>
        <v>28</v>
      </c>
      <c r="I13">
        <f t="shared" si="0"/>
        <v>22</v>
      </c>
      <c r="J13" s="5" t="s">
        <v>130</v>
      </c>
      <c r="K13" s="5">
        <v>24</v>
      </c>
      <c r="L13" t="str">
        <f t="shared" si="1"/>
        <v>Available</v>
      </c>
      <c r="M13" t="str">
        <f t="shared" si="2"/>
        <v>Low Stock</v>
      </c>
    </row>
    <row r="14" spans="1:13" x14ac:dyDescent="0.25">
      <c r="A14" s="5" t="s">
        <v>19</v>
      </c>
      <c r="B14" s="5" t="s">
        <v>144</v>
      </c>
      <c r="C14" s="5" t="s">
        <v>925</v>
      </c>
      <c r="D14" s="6">
        <v>45347</v>
      </c>
      <c r="E14" s="22">
        <v>175000</v>
      </c>
      <c r="F14" s="12">
        <v>240000</v>
      </c>
      <c r="G14" s="5">
        <v>70</v>
      </c>
      <c r="H14">
        <f>SUMIFS(Sales!G:G,Sales!B:B,tblProducts[[#This Row],[Product_id]])</f>
        <v>0</v>
      </c>
      <c r="I14">
        <f t="shared" si="0"/>
        <v>70</v>
      </c>
      <c r="J14" s="5" t="s">
        <v>130</v>
      </c>
      <c r="K14" s="5">
        <v>24</v>
      </c>
      <c r="L14" t="str">
        <f t="shared" si="1"/>
        <v>Available</v>
      </c>
      <c r="M14" t="str">
        <f t="shared" si="2"/>
        <v>Sufficient Stock</v>
      </c>
    </row>
    <row r="15" spans="1:13" x14ac:dyDescent="0.25">
      <c r="A15" s="5" t="s">
        <v>20</v>
      </c>
      <c r="B15" s="5" t="s">
        <v>145</v>
      </c>
      <c r="C15" s="5" t="s">
        <v>133</v>
      </c>
      <c r="D15" s="6">
        <v>45352</v>
      </c>
      <c r="E15" s="22">
        <v>140000</v>
      </c>
      <c r="F15" s="12">
        <v>195000</v>
      </c>
      <c r="G15" s="5">
        <v>120</v>
      </c>
      <c r="H15">
        <f>SUMIFS(Sales!G:G,Sales!B:B,tblProducts[[#This Row],[Product_id]])</f>
        <v>21</v>
      </c>
      <c r="I15">
        <f t="shared" si="0"/>
        <v>99</v>
      </c>
      <c r="J15" s="5" t="s">
        <v>130</v>
      </c>
      <c r="K15" s="5">
        <v>24</v>
      </c>
      <c r="L15" t="str">
        <f t="shared" si="1"/>
        <v>Available</v>
      </c>
      <c r="M15" t="str">
        <f t="shared" si="2"/>
        <v>Sufficient Stock</v>
      </c>
    </row>
    <row r="16" spans="1:13" x14ac:dyDescent="0.25">
      <c r="A16" s="5" t="s">
        <v>21</v>
      </c>
      <c r="B16" s="5" t="s">
        <v>146</v>
      </c>
      <c r="C16" s="5" t="s">
        <v>133</v>
      </c>
      <c r="D16" s="6">
        <v>45354</v>
      </c>
      <c r="E16" s="22">
        <v>225000</v>
      </c>
      <c r="F16" s="12">
        <v>310000</v>
      </c>
      <c r="G16" s="5">
        <v>100</v>
      </c>
      <c r="H16">
        <f>SUMIFS(Sales!G:G,Sales!B:B,tblProducts[[#This Row],[Product_id]])</f>
        <v>17</v>
      </c>
      <c r="I16">
        <f t="shared" si="0"/>
        <v>83</v>
      </c>
      <c r="J16" s="5" t="s">
        <v>130</v>
      </c>
      <c r="K16" s="5">
        <v>24</v>
      </c>
      <c r="L16" t="str">
        <f t="shared" si="1"/>
        <v>Available</v>
      </c>
      <c r="M16" t="str">
        <f t="shared" si="2"/>
        <v>Sufficient Stock</v>
      </c>
    </row>
    <row r="17" spans="1:13" x14ac:dyDescent="0.25">
      <c r="A17" s="5" t="s">
        <v>22</v>
      </c>
      <c r="B17" s="5" t="s">
        <v>147</v>
      </c>
      <c r="C17" s="5" t="s">
        <v>927</v>
      </c>
      <c r="D17" s="6">
        <v>45356</v>
      </c>
      <c r="E17" s="22">
        <v>22000</v>
      </c>
      <c r="F17" s="12">
        <v>35000</v>
      </c>
      <c r="G17" s="5">
        <v>220</v>
      </c>
      <c r="H17">
        <f>SUMIFS(Sales!G:G,Sales!B:B,tblProducts[[#This Row],[Product_id]])</f>
        <v>0</v>
      </c>
      <c r="I17">
        <f t="shared" si="0"/>
        <v>220</v>
      </c>
      <c r="J17" s="5" t="s">
        <v>130</v>
      </c>
      <c r="K17" s="5">
        <v>24</v>
      </c>
      <c r="L17" t="str">
        <f t="shared" si="1"/>
        <v>Available</v>
      </c>
      <c r="M17" t="str">
        <f t="shared" si="2"/>
        <v>Sufficient Stock</v>
      </c>
    </row>
    <row r="18" spans="1:13" x14ac:dyDescent="0.25">
      <c r="A18" s="5" t="s">
        <v>23</v>
      </c>
      <c r="B18" s="5" t="s">
        <v>148</v>
      </c>
      <c r="C18" s="5" t="s">
        <v>133</v>
      </c>
      <c r="D18" s="6">
        <v>45361</v>
      </c>
      <c r="E18" s="22">
        <v>680000</v>
      </c>
      <c r="F18" s="12">
        <v>890000</v>
      </c>
      <c r="G18" s="5">
        <v>40</v>
      </c>
      <c r="H18">
        <f>SUMIFS(Sales!G:G,Sales!B:B,tblProducts[[#This Row],[Product_id]])</f>
        <v>13</v>
      </c>
      <c r="I18">
        <f t="shared" si="0"/>
        <v>27</v>
      </c>
      <c r="J18" s="5" t="s">
        <v>130</v>
      </c>
      <c r="K18" s="5">
        <v>24</v>
      </c>
      <c r="L18" t="str">
        <f t="shared" si="1"/>
        <v>Available</v>
      </c>
      <c r="M18" t="str">
        <f t="shared" si="2"/>
        <v>Low Stock</v>
      </c>
    </row>
    <row r="19" spans="1:13" x14ac:dyDescent="0.25">
      <c r="A19" s="5" t="s">
        <v>24</v>
      </c>
      <c r="B19" s="5" t="s">
        <v>149</v>
      </c>
      <c r="C19" s="5" t="s">
        <v>925</v>
      </c>
      <c r="D19" s="6">
        <v>45363</v>
      </c>
      <c r="E19" s="22">
        <v>65000</v>
      </c>
      <c r="F19" s="12">
        <v>95000</v>
      </c>
      <c r="G19" s="5">
        <v>45</v>
      </c>
      <c r="H19">
        <f>SUMIFS(Sales!G:G,Sales!B:B,tblProducts[[#This Row],[Product_id]])</f>
        <v>11</v>
      </c>
      <c r="I19">
        <f t="shared" si="0"/>
        <v>34</v>
      </c>
      <c r="J19" s="5" t="s">
        <v>130</v>
      </c>
      <c r="K19" s="5">
        <v>24</v>
      </c>
      <c r="L19" t="str">
        <f t="shared" si="1"/>
        <v>Available</v>
      </c>
      <c r="M19" t="str">
        <f t="shared" si="2"/>
        <v>Low Stock</v>
      </c>
    </row>
    <row r="20" spans="1:13" x14ac:dyDescent="0.25">
      <c r="A20" s="5" t="s">
        <v>25</v>
      </c>
      <c r="B20" s="5" t="s">
        <v>150</v>
      </c>
      <c r="C20" s="5" t="s">
        <v>925</v>
      </c>
      <c r="D20" s="6">
        <v>45366</v>
      </c>
      <c r="E20" s="22">
        <v>155000</v>
      </c>
      <c r="F20" s="12">
        <v>215000</v>
      </c>
      <c r="G20" s="5">
        <v>130</v>
      </c>
      <c r="H20">
        <f>SUMIFS(Sales!G:G,Sales!B:B,tblProducts[[#This Row],[Product_id]])</f>
        <v>14</v>
      </c>
      <c r="I20">
        <f t="shared" si="0"/>
        <v>116</v>
      </c>
      <c r="J20" s="5" t="s">
        <v>130</v>
      </c>
      <c r="K20" s="5">
        <v>24</v>
      </c>
      <c r="L20" t="str">
        <f t="shared" si="1"/>
        <v>Available</v>
      </c>
      <c r="M20" t="str">
        <f t="shared" si="2"/>
        <v>Sufficient Stock</v>
      </c>
    </row>
    <row r="21" spans="1:13" x14ac:dyDescent="0.25">
      <c r="A21" s="5" t="s">
        <v>26</v>
      </c>
      <c r="B21" s="5" t="s">
        <v>151</v>
      </c>
      <c r="C21" s="5" t="s">
        <v>152</v>
      </c>
      <c r="D21" s="6">
        <v>45369</v>
      </c>
      <c r="E21" s="22">
        <v>450000</v>
      </c>
      <c r="F21" s="12">
        <v>610000</v>
      </c>
      <c r="G21" s="5">
        <v>160</v>
      </c>
      <c r="H21">
        <f>SUMIFS(Sales!G:G,Sales!B:B,tblProducts[[#This Row],[Product_id]])</f>
        <v>1</v>
      </c>
      <c r="I21">
        <f t="shared" si="0"/>
        <v>159</v>
      </c>
      <c r="J21" s="5" t="s">
        <v>130</v>
      </c>
      <c r="K21" s="5">
        <v>24</v>
      </c>
      <c r="L21" t="str">
        <f t="shared" si="1"/>
        <v>Available</v>
      </c>
      <c r="M21" t="str">
        <f t="shared" si="2"/>
        <v>Sufficient Stock</v>
      </c>
    </row>
    <row r="22" spans="1:13" x14ac:dyDescent="0.25">
      <c r="A22" s="5" t="s">
        <v>27</v>
      </c>
      <c r="B22" s="5" t="s">
        <v>153</v>
      </c>
      <c r="C22" s="5" t="s">
        <v>927</v>
      </c>
      <c r="D22" s="6">
        <v>45371</v>
      </c>
      <c r="E22" s="22">
        <v>28000</v>
      </c>
      <c r="F22" s="12">
        <v>42000</v>
      </c>
      <c r="G22" s="5">
        <v>180</v>
      </c>
      <c r="H22">
        <f>SUMIFS(Sales!G:G,Sales!B:B,tblProducts[[#This Row],[Product_id]])</f>
        <v>4</v>
      </c>
      <c r="I22">
        <f t="shared" si="0"/>
        <v>176</v>
      </c>
      <c r="J22" s="5" t="s">
        <v>130</v>
      </c>
      <c r="K22" s="5">
        <v>24</v>
      </c>
      <c r="L22" t="str">
        <f t="shared" si="1"/>
        <v>Available</v>
      </c>
      <c r="M22" t="str">
        <f t="shared" si="2"/>
        <v>Sufficient Stock</v>
      </c>
    </row>
    <row r="23" spans="1:13" x14ac:dyDescent="0.25">
      <c r="A23" s="5" t="s">
        <v>28</v>
      </c>
      <c r="B23" s="5" t="s">
        <v>154</v>
      </c>
      <c r="C23" s="5" t="s">
        <v>927</v>
      </c>
      <c r="D23" s="6">
        <v>45373</v>
      </c>
      <c r="E23" s="22">
        <v>32000</v>
      </c>
      <c r="F23" s="12">
        <v>48000</v>
      </c>
      <c r="G23" s="5">
        <v>40</v>
      </c>
      <c r="H23">
        <f>SUMIFS(Sales!G:G,Sales!B:B,tblProducts[[#This Row],[Product_id]])</f>
        <v>62</v>
      </c>
      <c r="I23">
        <f t="shared" si="0"/>
        <v>-22</v>
      </c>
      <c r="J23" s="5" t="s">
        <v>130</v>
      </c>
      <c r="K23" s="5">
        <v>24</v>
      </c>
      <c r="L23" t="str">
        <f t="shared" si="1"/>
        <v>Available</v>
      </c>
      <c r="M23" t="str">
        <f t="shared" si="2"/>
        <v>Low Stock</v>
      </c>
    </row>
    <row r="24" spans="1:13" x14ac:dyDescent="0.25">
      <c r="A24" s="5" t="s">
        <v>29</v>
      </c>
      <c r="B24" s="5" t="s">
        <v>155</v>
      </c>
      <c r="C24" s="5" t="s">
        <v>925</v>
      </c>
      <c r="D24" s="6">
        <v>45376</v>
      </c>
      <c r="E24" s="22">
        <v>360000</v>
      </c>
      <c r="F24" s="12">
        <v>480000</v>
      </c>
      <c r="G24" s="5">
        <v>100</v>
      </c>
      <c r="H24">
        <f>SUMIFS(Sales!G:G,Sales!B:B,tblProducts[[#This Row],[Product_id]])</f>
        <v>16</v>
      </c>
      <c r="I24">
        <f t="shared" si="0"/>
        <v>84</v>
      </c>
      <c r="J24" s="5" t="s">
        <v>130</v>
      </c>
      <c r="K24" s="5">
        <v>24</v>
      </c>
      <c r="L24" t="str">
        <f t="shared" si="1"/>
        <v>Available</v>
      </c>
      <c r="M24" t="str">
        <f t="shared" si="2"/>
        <v>Sufficient Stock</v>
      </c>
    </row>
    <row r="25" spans="1:13" x14ac:dyDescent="0.25">
      <c r="A25" s="5" t="s">
        <v>30</v>
      </c>
      <c r="B25" s="5" t="s">
        <v>156</v>
      </c>
      <c r="C25" s="5" t="s">
        <v>925</v>
      </c>
      <c r="D25" s="6">
        <v>45379</v>
      </c>
      <c r="E25" s="22">
        <v>295000</v>
      </c>
      <c r="F25" s="12">
        <v>395000</v>
      </c>
      <c r="G25" s="5">
        <v>170</v>
      </c>
      <c r="H25">
        <f>SUMIFS(Sales!G:G,Sales!B:B,tblProducts[[#This Row],[Product_id]])</f>
        <v>0</v>
      </c>
      <c r="I25">
        <f t="shared" si="0"/>
        <v>170</v>
      </c>
      <c r="J25" s="5" t="s">
        <v>130</v>
      </c>
      <c r="K25" s="5">
        <v>24</v>
      </c>
      <c r="L25" t="str">
        <f t="shared" si="1"/>
        <v>Available</v>
      </c>
      <c r="M25" t="str">
        <f t="shared" si="2"/>
        <v>Sufficient Stock</v>
      </c>
    </row>
    <row r="26" spans="1:13" x14ac:dyDescent="0.25">
      <c r="A26" s="5" t="s">
        <v>31</v>
      </c>
      <c r="B26" s="5" t="s">
        <v>157</v>
      </c>
      <c r="C26" s="5" t="s">
        <v>152</v>
      </c>
      <c r="D26" s="6">
        <v>45383</v>
      </c>
      <c r="E26" s="22">
        <v>510000</v>
      </c>
      <c r="F26" s="12">
        <v>690000</v>
      </c>
      <c r="G26" s="5">
        <v>150</v>
      </c>
      <c r="H26">
        <f>SUMIFS(Sales!G:G,Sales!B:B,tblProducts[[#This Row],[Product_id]])</f>
        <v>68</v>
      </c>
      <c r="I26">
        <f t="shared" si="0"/>
        <v>82</v>
      </c>
      <c r="J26" s="5" t="s">
        <v>130</v>
      </c>
      <c r="K26" s="5">
        <v>24</v>
      </c>
      <c r="L26" t="str">
        <f t="shared" si="1"/>
        <v>Available</v>
      </c>
      <c r="M26" t="str">
        <f t="shared" si="2"/>
        <v>Sufficient Stock</v>
      </c>
    </row>
    <row r="27" spans="1:13" x14ac:dyDescent="0.25">
      <c r="A27" s="5" t="s">
        <v>32</v>
      </c>
      <c r="B27" s="5" t="s">
        <v>158</v>
      </c>
      <c r="C27" s="5" t="s">
        <v>927</v>
      </c>
      <c r="D27" s="6">
        <v>45385</v>
      </c>
      <c r="E27" s="22">
        <v>98000</v>
      </c>
      <c r="F27" s="12">
        <v>145000</v>
      </c>
      <c r="G27" s="5">
        <v>190</v>
      </c>
      <c r="H27">
        <f>SUMIFS(Sales!G:G,Sales!B:B,tblProducts[[#This Row],[Product_id]])</f>
        <v>35</v>
      </c>
      <c r="I27">
        <f t="shared" si="0"/>
        <v>155</v>
      </c>
      <c r="J27" s="5" t="s">
        <v>130</v>
      </c>
      <c r="K27" s="5">
        <v>24</v>
      </c>
      <c r="L27" t="str">
        <f t="shared" si="1"/>
        <v>Available</v>
      </c>
      <c r="M27" t="str">
        <f t="shared" si="2"/>
        <v>Sufficient Stock</v>
      </c>
    </row>
    <row r="28" spans="1:13" x14ac:dyDescent="0.25">
      <c r="A28" s="5" t="s">
        <v>33</v>
      </c>
      <c r="B28" s="5" t="s">
        <v>159</v>
      </c>
      <c r="C28" s="5" t="s">
        <v>927</v>
      </c>
      <c r="D28" s="6">
        <v>45387</v>
      </c>
      <c r="E28" s="22">
        <v>125000</v>
      </c>
      <c r="F28" s="12">
        <v>175000</v>
      </c>
      <c r="G28" s="5">
        <v>160</v>
      </c>
      <c r="H28">
        <f>SUMIFS(Sales!G:G,Sales!B:B,tblProducts[[#This Row],[Product_id]])</f>
        <v>3</v>
      </c>
      <c r="I28">
        <f t="shared" si="0"/>
        <v>157</v>
      </c>
      <c r="J28" s="5" t="s">
        <v>130</v>
      </c>
      <c r="K28" s="5">
        <v>24</v>
      </c>
      <c r="L28" t="str">
        <f t="shared" si="1"/>
        <v>Available</v>
      </c>
      <c r="M28" t="str">
        <f t="shared" si="2"/>
        <v>Sufficient Stock</v>
      </c>
    </row>
    <row r="29" spans="1:13" x14ac:dyDescent="0.25">
      <c r="A29" s="5" t="s">
        <v>34</v>
      </c>
      <c r="B29" s="5" t="s">
        <v>160</v>
      </c>
      <c r="C29" s="5" t="s">
        <v>927</v>
      </c>
      <c r="D29" s="6">
        <v>45389</v>
      </c>
      <c r="E29" s="22">
        <v>54000</v>
      </c>
      <c r="F29" s="12">
        <v>82000</v>
      </c>
      <c r="G29" s="5">
        <v>60</v>
      </c>
      <c r="H29">
        <f>SUMIFS(Sales!G:G,Sales!B:B,tblProducts[[#This Row],[Product_id]])</f>
        <v>34</v>
      </c>
      <c r="I29">
        <f t="shared" si="0"/>
        <v>26</v>
      </c>
      <c r="J29" s="5" t="s">
        <v>130</v>
      </c>
      <c r="K29" s="5">
        <v>24</v>
      </c>
      <c r="L29" t="str">
        <f t="shared" si="1"/>
        <v>Available</v>
      </c>
      <c r="M29" t="str">
        <f t="shared" si="2"/>
        <v>Low Stock</v>
      </c>
    </row>
    <row r="30" spans="1:13" x14ac:dyDescent="0.25">
      <c r="A30" s="5" t="s">
        <v>35</v>
      </c>
      <c r="B30" s="5" t="s">
        <v>161</v>
      </c>
      <c r="C30" s="5" t="s">
        <v>925</v>
      </c>
      <c r="D30" s="6">
        <v>45392</v>
      </c>
      <c r="E30" s="22">
        <v>47000</v>
      </c>
      <c r="F30" s="12">
        <v>72000</v>
      </c>
      <c r="G30" s="5">
        <v>50</v>
      </c>
      <c r="H30">
        <f>SUMIFS(Sales!G:G,Sales!B:B,tblProducts[[#This Row],[Product_id]])</f>
        <v>17</v>
      </c>
      <c r="I30">
        <f t="shared" si="0"/>
        <v>33</v>
      </c>
      <c r="J30" s="5" t="s">
        <v>130</v>
      </c>
      <c r="K30" s="5">
        <v>24</v>
      </c>
      <c r="L30" t="str">
        <f t="shared" si="1"/>
        <v>Available</v>
      </c>
      <c r="M30" t="str">
        <f t="shared" si="2"/>
        <v>Low Stock</v>
      </c>
    </row>
    <row r="31" spans="1:13" x14ac:dyDescent="0.25">
      <c r="A31" s="5" t="s">
        <v>36</v>
      </c>
      <c r="B31" s="5" t="s">
        <v>162</v>
      </c>
      <c r="C31" s="5" t="s">
        <v>163</v>
      </c>
      <c r="D31" s="6">
        <v>45394</v>
      </c>
      <c r="E31" s="22">
        <v>720000</v>
      </c>
      <c r="F31" s="12">
        <v>950000</v>
      </c>
      <c r="G31" s="5">
        <v>110</v>
      </c>
      <c r="H31">
        <f>SUMIFS(Sales!G:G,Sales!B:B,tblProducts[[#This Row],[Product_id]])</f>
        <v>9</v>
      </c>
      <c r="I31">
        <f t="shared" si="0"/>
        <v>101</v>
      </c>
      <c r="J31" s="5" t="s">
        <v>130</v>
      </c>
      <c r="K31" s="5">
        <v>24</v>
      </c>
      <c r="L31" t="str">
        <f t="shared" si="1"/>
        <v>Available</v>
      </c>
      <c r="M31" t="str">
        <f t="shared" si="2"/>
        <v>Sufficient Stock</v>
      </c>
    </row>
    <row r="32" spans="1:13" x14ac:dyDescent="0.25">
      <c r="A32" s="5" t="s">
        <v>37</v>
      </c>
      <c r="B32" s="5" t="s">
        <v>164</v>
      </c>
      <c r="C32" s="5" t="s">
        <v>163</v>
      </c>
      <c r="D32" s="6">
        <v>45397</v>
      </c>
      <c r="E32" s="22">
        <v>185000</v>
      </c>
      <c r="F32" s="12">
        <v>255000</v>
      </c>
      <c r="G32" s="5">
        <v>140</v>
      </c>
      <c r="H32">
        <f>SUMIFS(Sales!G:G,Sales!B:B,tblProducts[[#This Row],[Product_id]])</f>
        <v>25</v>
      </c>
      <c r="I32">
        <f t="shared" si="0"/>
        <v>115</v>
      </c>
      <c r="J32" s="5" t="s">
        <v>130</v>
      </c>
      <c r="K32" s="5">
        <v>24</v>
      </c>
      <c r="L32" t="str">
        <f t="shared" si="1"/>
        <v>Available</v>
      </c>
      <c r="M32" t="str">
        <f t="shared" si="2"/>
        <v>Sufficient Stock</v>
      </c>
    </row>
    <row r="33" spans="1:13" x14ac:dyDescent="0.25">
      <c r="A33" s="5" t="s">
        <v>38</v>
      </c>
      <c r="B33" s="5" t="s">
        <v>165</v>
      </c>
      <c r="C33" s="5" t="s">
        <v>163</v>
      </c>
      <c r="D33" s="6">
        <v>45399</v>
      </c>
      <c r="E33" s="22">
        <v>210000</v>
      </c>
      <c r="F33" s="12">
        <v>295000</v>
      </c>
      <c r="G33" s="5">
        <v>130</v>
      </c>
      <c r="H33">
        <f>SUMIFS(Sales!G:G,Sales!B:B,tblProducts[[#This Row],[Product_id]])</f>
        <v>25</v>
      </c>
      <c r="I33">
        <f t="shared" si="0"/>
        <v>105</v>
      </c>
      <c r="J33" s="5" t="s">
        <v>130</v>
      </c>
      <c r="K33" s="5">
        <v>24</v>
      </c>
      <c r="L33" t="str">
        <f t="shared" si="1"/>
        <v>Available</v>
      </c>
      <c r="M33" t="str">
        <f t="shared" si="2"/>
        <v>Sufficient Stock</v>
      </c>
    </row>
    <row r="34" spans="1:13" x14ac:dyDescent="0.25">
      <c r="A34" s="5" t="s">
        <v>39</v>
      </c>
      <c r="B34" s="5" t="s">
        <v>166</v>
      </c>
      <c r="C34" s="5" t="s">
        <v>167</v>
      </c>
      <c r="D34" s="6">
        <v>45400</v>
      </c>
      <c r="E34" s="22">
        <v>88000</v>
      </c>
      <c r="F34" s="12">
        <v>125000</v>
      </c>
      <c r="G34" s="5">
        <v>200</v>
      </c>
      <c r="H34">
        <f>SUMIFS(Sales!G:G,Sales!B:B,tblProducts[[#This Row],[Product_id]])</f>
        <v>27</v>
      </c>
      <c r="I34">
        <f t="shared" ref="I34:I65" si="3">G34-H34</f>
        <v>173</v>
      </c>
      <c r="J34" s="5" t="s">
        <v>130</v>
      </c>
      <c r="K34" s="5">
        <v>24</v>
      </c>
      <c r="L34" t="str">
        <f t="shared" si="1"/>
        <v>Available</v>
      </c>
      <c r="M34" t="str">
        <f t="shared" si="2"/>
        <v>Sufficient Stock</v>
      </c>
    </row>
    <row r="35" spans="1:13" x14ac:dyDescent="0.25">
      <c r="A35" s="5" t="s">
        <v>40</v>
      </c>
      <c r="B35" s="5" t="s">
        <v>168</v>
      </c>
      <c r="C35" s="5" t="s">
        <v>169</v>
      </c>
      <c r="D35" s="6">
        <v>45402</v>
      </c>
      <c r="E35" s="22">
        <v>12000</v>
      </c>
      <c r="F35" s="12">
        <v>20000</v>
      </c>
      <c r="G35" s="5">
        <v>30</v>
      </c>
      <c r="H35">
        <f>SUMIFS(Sales!G:G,Sales!B:B,tblProducts[[#This Row],[Product_id]])</f>
        <v>12</v>
      </c>
      <c r="I35">
        <f t="shared" si="3"/>
        <v>18</v>
      </c>
      <c r="J35" s="5" t="s">
        <v>130</v>
      </c>
      <c r="K35" s="5">
        <v>24</v>
      </c>
      <c r="L35" t="str">
        <f t="shared" si="1"/>
        <v>Available</v>
      </c>
      <c r="M35" t="str">
        <f t="shared" si="2"/>
        <v>Low Stock</v>
      </c>
    </row>
    <row r="36" spans="1:13" x14ac:dyDescent="0.25">
      <c r="A36" s="5" t="s">
        <v>41</v>
      </c>
      <c r="B36" s="5" t="s">
        <v>170</v>
      </c>
      <c r="C36" s="5" t="s">
        <v>169</v>
      </c>
      <c r="D36" s="6">
        <v>45402</v>
      </c>
      <c r="E36" s="22">
        <v>4500</v>
      </c>
      <c r="F36" s="12">
        <v>8500</v>
      </c>
      <c r="G36" s="5">
        <v>35</v>
      </c>
      <c r="H36">
        <f>SUMIFS(Sales!G:G,Sales!B:B,tblProducts[[#This Row],[Product_id]])</f>
        <v>45</v>
      </c>
      <c r="I36">
        <f t="shared" si="3"/>
        <v>-10</v>
      </c>
      <c r="J36" s="5" t="s">
        <v>130</v>
      </c>
      <c r="K36" s="5">
        <v>24</v>
      </c>
      <c r="L36" t="str">
        <f t="shared" si="1"/>
        <v>Available</v>
      </c>
      <c r="M36" t="str">
        <f t="shared" si="2"/>
        <v>Low Stock</v>
      </c>
    </row>
    <row r="37" spans="1:13" x14ac:dyDescent="0.25">
      <c r="A37" s="5" t="s">
        <v>42</v>
      </c>
      <c r="B37" s="5" t="s">
        <v>171</v>
      </c>
      <c r="C37" s="5" t="s">
        <v>169</v>
      </c>
      <c r="D37" s="6">
        <v>45403</v>
      </c>
      <c r="E37" s="22">
        <v>7000</v>
      </c>
      <c r="F37" s="12">
        <v>12000</v>
      </c>
      <c r="G37" s="5">
        <v>80</v>
      </c>
      <c r="H37">
        <f>SUMIFS(Sales!G:G,Sales!B:B,tblProducts[[#This Row],[Product_id]])</f>
        <v>28</v>
      </c>
      <c r="I37">
        <f t="shared" si="3"/>
        <v>52</v>
      </c>
      <c r="J37" s="5" t="s">
        <v>130</v>
      </c>
      <c r="K37" s="5">
        <v>24</v>
      </c>
      <c r="L37" t="str">
        <f t="shared" si="1"/>
        <v>Available</v>
      </c>
      <c r="M37" t="str">
        <f t="shared" si="2"/>
        <v>Sufficient Stock</v>
      </c>
    </row>
    <row r="38" spans="1:13" x14ac:dyDescent="0.25">
      <c r="A38" s="5" t="s">
        <v>43</v>
      </c>
      <c r="B38" s="5" t="s">
        <v>172</v>
      </c>
      <c r="C38" s="5" t="s">
        <v>133</v>
      </c>
      <c r="D38" s="6">
        <v>45407</v>
      </c>
      <c r="E38" s="22">
        <v>620000</v>
      </c>
      <c r="F38" s="12">
        <v>820000</v>
      </c>
      <c r="G38" s="5">
        <v>100</v>
      </c>
      <c r="H38">
        <f>SUMIFS(Sales!G:G,Sales!B:B,tblProducts[[#This Row],[Product_id]])</f>
        <v>25</v>
      </c>
      <c r="I38">
        <f t="shared" si="3"/>
        <v>75</v>
      </c>
      <c r="J38" s="5" t="s">
        <v>130</v>
      </c>
      <c r="K38" s="5">
        <v>24</v>
      </c>
      <c r="L38" t="str">
        <f t="shared" si="1"/>
        <v>Available</v>
      </c>
      <c r="M38" t="str">
        <f t="shared" si="2"/>
        <v>Sufficient Stock</v>
      </c>
    </row>
    <row r="39" spans="1:13" x14ac:dyDescent="0.25">
      <c r="A39" s="5" t="s">
        <v>44</v>
      </c>
      <c r="B39" s="5" t="s">
        <v>173</v>
      </c>
      <c r="C39" s="5" t="s">
        <v>174</v>
      </c>
      <c r="D39" s="6">
        <v>45409</v>
      </c>
      <c r="E39" s="22">
        <v>320000</v>
      </c>
      <c r="F39" s="12">
        <v>435000</v>
      </c>
      <c r="G39" s="5">
        <v>150</v>
      </c>
      <c r="H39">
        <f>SUMIFS(Sales!G:G,Sales!B:B,tblProducts[[#This Row],[Product_id]])</f>
        <v>19</v>
      </c>
      <c r="I39">
        <f t="shared" si="3"/>
        <v>131</v>
      </c>
      <c r="J39" s="5" t="s">
        <v>130</v>
      </c>
      <c r="K39" s="5">
        <v>24</v>
      </c>
      <c r="L39" t="str">
        <f t="shared" si="1"/>
        <v>Available</v>
      </c>
      <c r="M39" t="str">
        <f t="shared" si="2"/>
        <v>Sufficient Stock</v>
      </c>
    </row>
    <row r="40" spans="1:13" x14ac:dyDescent="0.25">
      <c r="A40" s="5" t="s">
        <v>45</v>
      </c>
      <c r="B40" s="5" t="s">
        <v>175</v>
      </c>
      <c r="C40" s="5" t="s">
        <v>174</v>
      </c>
      <c r="D40" s="6">
        <v>45410</v>
      </c>
      <c r="E40" s="22">
        <v>275000</v>
      </c>
      <c r="F40" s="12">
        <v>380000</v>
      </c>
      <c r="G40" s="5">
        <v>90</v>
      </c>
      <c r="H40">
        <f>SUMIFS(Sales!G:G,Sales!B:B,tblProducts[[#This Row],[Product_id]])</f>
        <v>46</v>
      </c>
      <c r="I40">
        <f t="shared" si="3"/>
        <v>44</v>
      </c>
      <c r="J40" s="5" t="s">
        <v>130</v>
      </c>
      <c r="K40" s="5">
        <v>24</v>
      </c>
      <c r="L40" t="str">
        <f t="shared" si="1"/>
        <v>Available</v>
      </c>
      <c r="M40" t="str">
        <f t="shared" si="2"/>
        <v>Low Stock</v>
      </c>
    </row>
    <row r="41" spans="1:13" x14ac:dyDescent="0.25">
      <c r="A41" s="5" t="s">
        <v>46</v>
      </c>
      <c r="B41" s="5" t="s">
        <v>176</v>
      </c>
      <c r="C41" s="5" t="s">
        <v>174</v>
      </c>
      <c r="D41" s="6">
        <v>45412</v>
      </c>
      <c r="E41" s="22">
        <v>65000</v>
      </c>
      <c r="F41" s="12">
        <v>95000</v>
      </c>
      <c r="G41" s="5">
        <v>140</v>
      </c>
      <c r="H41">
        <f>SUMIFS(Sales!G:G,Sales!B:B,tblProducts[[#This Row],[Product_id]])</f>
        <v>10</v>
      </c>
      <c r="I41">
        <f t="shared" si="3"/>
        <v>130</v>
      </c>
      <c r="J41" s="5" t="s">
        <v>130</v>
      </c>
      <c r="K41" s="5">
        <v>24</v>
      </c>
      <c r="L41" t="str">
        <f t="shared" si="1"/>
        <v>Available</v>
      </c>
      <c r="M41" t="str">
        <f t="shared" si="2"/>
        <v>Sufficient Stock</v>
      </c>
    </row>
    <row r="42" spans="1:13" x14ac:dyDescent="0.25">
      <c r="A42" s="5" t="s">
        <v>47</v>
      </c>
      <c r="B42" s="5" t="s">
        <v>177</v>
      </c>
      <c r="C42" s="5" t="s">
        <v>133</v>
      </c>
      <c r="D42" s="6">
        <v>45414</v>
      </c>
      <c r="E42" s="22">
        <v>155000</v>
      </c>
      <c r="F42" s="12">
        <v>215000</v>
      </c>
      <c r="G42" s="5">
        <v>110</v>
      </c>
      <c r="H42">
        <f>SUMIFS(Sales!G:G,Sales!B:B,tblProducts[[#This Row],[Product_id]])</f>
        <v>43</v>
      </c>
      <c r="I42">
        <f t="shared" si="3"/>
        <v>67</v>
      </c>
      <c r="J42" s="5" t="s">
        <v>130</v>
      </c>
      <c r="K42" s="5">
        <v>24</v>
      </c>
      <c r="L42" t="str">
        <f t="shared" si="1"/>
        <v>Available</v>
      </c>
      <c r="M42" t="str">
        <f t="shared" si="2"/>
        <v>Sufficient Stock</v>
      </c>
    </row>
    <row r="43" spans="1:13" x14ac:dyDescent="0.25">
      <c r="A43" s="5" t="s">
        <v>48</v>
      </c>
      <c r="B43" s="5" t="s">
        <v>178</v>
      </c>
      <c r="C43" s="5" t="s">
        <v>133</v>
      </c>
      <c r="D43" s="6">
        <v>45416</v>
      </c>
      <c r="E43" s="22">
        <v>98000</v>
      </c>
      <c r="F43" s="12">
        <v>145000</v>
      </c>
      <c r="G43" s="5">
        <v>50</v>
      </c>
      <c r="H43">
        <f>SUMIFS(Sales!G:G,Sales!B:B,tblProducts[[#This Row],[Product_id]])</f>
        <v>0</v>
      </c>
      <c r="I43">
        <f t="shared" si="3"/>
        <v>50</v>
      </c>
      <c r="J43" s="5" t="s">
        <v>130</v>
      </c>
      <c r="K43" s="5">
        <v>24</v>
      </c>
      <c r="L43" t="str">
        <f t="shared" si="1"/>
        <v>Available</v>
      </c>
      <c r="M43" t="str">
        <f t="shared" si="2"/>
        <v>Sufficient Stock</v>
      </c>
    </row>
    <row r="44" spans="1:13" x14ac:dyDescent="0.25">
      <c r="A44" s="5" t="s">
        <v>49</v>
      </c>
      <c r="B44" s="5" t="s">
        <v>179</v>
      </c>
      <c r="C44" s="5" t="s">
        <v>133</v>
      </c>
      <c r="D44" s="6">
        <v>45418</v>
      </c>
      <c r="E44" s="22">
        <v>115000</v>
      </c>
      <c r="F44" s="12">
        <v>165000</v>
      </c>
      <c r="G44" s="5">
        <v>160</v>
      </c>
      <c r="H44">
        <f>SUMIFS(Sales!G:G,Sales!B:B,tblProducts[[#This Row],[Product_id]])</f>
        <v>15</v>
      </c>
      <c r="I44">
        <f t="shared" si="3"/>
        <v>145</v>
      </c>
      <c r="J44" s="5" t="s">
        <v>130</v>
      </c>
      <c r="K44" s="5">
        <v>24</v>
      </c>
      <c r="L44" t="str">
        <f t="shared" si="1"/>
        <v>Available</v>
      </c>
      <c r="M44" t="str">
        <f t="shared" si="2"/>
        <v>Sufficient Stock</v>
      </c>
    </row>
    <row r="45" spans="1:13" x14ac:dyDescent="0.25">
      <c r="A45" s="5" t="s">
        <v>50</v>
      </c>
      <c r="B45" s="5" t="s">
        <v>180</v>
      </c>
      <c r="C45" s="5" t="s">
        <v>152</v>
      </c>
      <c r="D45" s="6">
        <v>45420</v>
      </c>
      <c r="E45" s="22">
        <v>38000</v>
      </c>
      <c r="F45" s="12">
        <v>58000</v>
      </c>
      <c r="G45" s="5">
        <v>25</v>
      </c>
      <c r="H45">
        <f>SUMIFS(Sales!G:G,Sales!B:B,tblProducts[[#This Row],[Product_id]])</f>
        <v>68</v>
      </c>
      <c r="I45">
        <f t="shared" si="3"/>
        <v>-43</v>
      </c>
      <c r="J45" s="5" t="s">
        <v>130</v>
      </c>
      <c r="K45" s="5">
        <v>24</v>
      </c>
      <c r="L45" t="str">
        <f t="shared" si="1"/>
        <v>Available</v>
      </c>
      <c r="M45" t="str">
        <f t="shared" si="2"/>
        <v>Low Stock</v>
      </c>
    </row>
    <row r="46" spans="1:13" x14ac:dyDescent="0.25">
      <c r="A46" s="5" t="s">
        <v>51</v>
      </c>
      <c r="B46" s="5" t="s">
        <v>181</v>
      </c>
      <c r="C46" s="5" t="s">
        <v>927</v>
      </c>
      <c r="D46" s="6">
        <v>45422</v>
      </c>
      <c r="E46" s="22">
        <v>42000</v>
      </c>
      <c r="F46" s="12">
        <v>65000</v>
      </c>
      <c r="G46" s="5">
        <v>150</v>
      </c>
      <c r="H46">
        <f>SUMIFS(Sales!G:G,Sales!B:B,tblProducts[[#This Row],[Product_id]])</f>
        <v>10</v>
      </c>
      <c r="I46">
        <f t="shared" si="3"/>
        <v>140</v>
      </c>
      <c r="J46" s="5" t="s">
        <v>130</v>
      </c>
      <c r="K46" s="5">
        <v>24</v>
      </c>
      <c r="L46" t="str">
        <f t="shared" si="1"/>
        <v>Available</v>
      </c>
      <c r="M46" t="str">
        <f t="shared" si="2"/>
        <v>Sufficient Stock</v>
      </c>
    </row>
    <row r="47" spans="1:13" x14ac:dyDescent="0.25">
      <c r="A47" s="5" t="s">
        <v>52</v>
      </c>
      <c r="B47" s="5" t="s">
        <v>182</v>
      </c>
      <c r="C47" s="5" t="s">
        <v>167</v>
      </c>
      <c r="D47" s="6">
        <v>45424</v>
      </c>
      <c r="E47" s="22">
        <v>75000</v>
      </c>
      <c r="F47" s="12">
        <v>110000</v>
      </c>
      <c r="G47" s="5">
        <v>120</v>
      </c>
      <c r="H47">
        <f>SUMIFS(Sales!G:G,Sales!B:B,tblProducts[[#This Row],[Product_id]])</f>
        <v>4</v>
      </c>
      <c r="I47">
        <f t="shared" si="3"/>
        <v>116</v>
      </c>
      <c r="J47" s="5" t="s">
        <v>130</v>
      </c>
      <c r="K47" s="5">
        <v>24</v>
      </c>
      <c r="L47" t="str">
        <f t="shared" si="1"/>
        <v>Available</v>
      </c>
      <c r="M47" t="str">
        <f t="shared" si="2"/>
        <v>Sufficient Stock</v>
      </c>
    </row>
    <row r="48" spans="1:13" x14ac:dyDescent="0.25">
      <c r="A48" s="5" t="s">
        <v>53</v>
      </c>
      <c r="B48" s="5" t="s">
        <v>183</v>
      </c>
      <c r="C48" s="5" t="s">
        <v>927</v>
      </c>
      <c r="D48" s="6">
        <v>45426</v>
      </c>
      <c r="E48" s="22">
        <v>165000</v>
      </c>
      <c r="F48" s="12">
        <v>230000</v>
      </c>
      <c r="G48" s="5">
        <v>15</v>
      </c>
      <c r="H48">
        <f>SUMIFS(Sales!G:G,Sales!B:B,tblProducts[[#This Row],[Product_id]])</f>
        <v>23</v>
      </c>
      <c r="I48">
        <f t="shared" si="3"/>
        <v>-8</v>
      </c>
      <c r="J48" s="5" t="s">
        <v>130</v>
      </c>
      <c r="K48" s="5">
        <v>24</v>
      </c>
      <c r="L48" t="str">
        <f t="shared" si="1"/>
        <v>Available</v>
      </c>
      <c r="M48" t="str">
        <f t="shared" si="2"/>
        <v>Low Stock</v>
      </c>
    </row>
    <row r="49" spans="1:13" x14ac:dyDescent="0.25">
      <c r="A49" s="5" t="s">
        <v>54</v>
      </c>
      <c r="B49" s="5" t="s">
        <v>184</v>
      </c>
      <c r="C49" s="5" t="s">
        <v>925</v>
      </c>
      <c r="D49" s="6">
        <v>45428</v>
      </c>
      <c r="E49" s="22">
        <v>210000</v>
      </c>
      <c r="F49" s="12">
        <v>295000</v>
      </c>
      <c r="G49" s="5">
        <v>200</v>
      </c>
      <c r="H49">
        <f>SUMIFS(Sales!G:G,Sales!B:B,tblProducts[[#This Row],[Product_id]])</f>
        <v>25</v>
      </c>
      <c r="I49">
        <f t="shared" si="3"/>
        <v>175</v>
      </c>
      <c r="J49" s="5" t="s">
        <v>130</v>
      </c>
      <c r="K49" s="5">
        <v>24</v>
      </c>
      <c r="L49" t="str">
        <f t="shared" si="1"/>
        <v>Available</v>
      </c>
      <c r="M49" t="str">
        <f t="shared" si="2"/>
        <v>Sufficient Stock</v>
      </c>
    </row>
    <row r="50" spans="1:13" x14ac:dyDescent="0.25">
      <c r="A50" s="5" t="s">
        <v>55</v>
      </c>
      <c r="B50" s="5" t="s">
        <v>185</v>
      </c>
      <c r="C50" s="5" t="s">
        <v>152</v>
      </c>
      <c r="D50" s="6">
        <v>45430</v>
      </c>
      <c r="E50" s="22">
        <v>340000</v>
      </c>
      <c r="F50" s="12">
        <v>465000</v>
      </c>
      <c r="G50" s="5">
        <v>50</v>
      </c>
      <c r="H50">
        <f>SUMIFS(Sales!G:G,Sales!B:B,tblProducts[[#This Row],[Product_id]])</f>
        <v>26</v>
      </c>
      <c r="I50">
        <f t="shared" si="3"/>
        <v>24</v>
      </c>
      <c r="J50" s="5" t="s">
        <v>130</v>
      </c>
      <c r="K50" s="5">
        <v>24</v>
      </c>
      <c r="L50" t="str">
        <f t="shared" si="1"/>
        <v>Available</v>
      </c>
      <c r="M50" t="str">
        <f t="shared" si="2"/>
        <v>Low Stock</v>
      </c>
    </row>
    <row r="51" spans="1:13" x14ac:dyDescent="0.25">
      <c r="A51" s="5" t="s">
        <v>56</v>
      </c>
      <c r="B51" s="5" t="s">
        <v>186</v>
      </c>
      <c r="C51" s="5" t="s">
        <v>167</v>
      </c>
      <c r="D51" s="6">
        <v>45432</v>
      </c>
      <c r="E51" s="22">
        <v>98000</v>
      </c>
      <c r="F51" s="12">
        <v>145000</v>
      </c>
      <c r="G51" s="5">
        <v>25</v>
      </c>
      <c r="H51">
        <f>SUMIFS(Sales!G:G,Sales!B:B,tblProducts[[#This Row],[Product_id]])</f>
        <v>7</v>
      </c>
      <c r="I51">
        <f t="shared" si="3"/>
        <v>18</v>
      </c>
      <c r="J51" s="5" t="s">
        <v>130</v>
      </c>
      <c r="K51" s="5">
        <v>24</v>
      </c>
      <c r="L51" t="str">
        <f t="shared" si="1"/>
        <v>Available</v>
      </c>
      <c r="M51" t="str">
        <f t="shared" si="2"/>
        <v>Low Stock</v>
      </c>
    </row>
    <row r="52" spans="1:13" x14ac:dyDescent="0.25">
      <c r="A52" s="5" t="s">
        <v>57</v>
      </c>
      <c r="B52" s="5" t="s">
        <v>187</v>
      </c>
      <c r="C52" s="5" t="s">
        <v>167</v>
      </c>
      <c r="D52" s="6">
        <v>45433</v>
      </c>
      <c r="E52" s="22">
        <v>18000</v>
      </c>
      <c r="F52" s="12">
        <v>30000</v>
      </c>
      <c r="G52" s="5">
        <v>220</v>
      </c>
      <c r="H52">
        <f>SUMIFS(Sales!G:G,Sales!B:B,tblProducts[[#This Row],[Product_id]])</f>
        <v>13</v>
      </c>
      <c r="I52">
        <f t="shared" si="3"/>
        <v>207</v>
      </c>
      <c r="J52" s="5" t="s">
        <v>130</v>
      </c>
      <c r="K52" s="5">
        <v>24</v>
      </c>
      <c r="L52" t="str">
        <f t="shared" si="1"/>
        <v>Available</v>
      </c>
      <c r="M52" t="str">
        <f t="shared" si="2"/>
        <v>Sufficient Stock</v>
      </c>
    </row>
    <row r="53" spans="1:13" x14ac:dyDescent="0.25">
      <c r="A53" s="5" t="s">
        <v>58</v>
      </c>
      <c r="B53" s="5" t="s">
        <v>188</v>
      </c>
      <c r="C53" s="5" t="s">
        <v>152</v>
      </c>
      <c r="D53" s="6">
        <v>45434</v>
      </c>
      <c r="E53" s="22">
        <v>125000</v>
      </c>
      <c r="F53" s="12">
        <v>185000</v>
      </c>
      <c r="G53" s="5">
        <v>180</v>
      </c>
      <c r="H53">
        <f>SUMIFS(Sales!G:G,Sales!B:B,tblProducts[[#This Row],[Product_id]])</f>
        <v>20</v>
      </c>
      <c r="I53">
        <f t="shared" si="3"/>
        <v>160</v>
      </c>
      <c r="J53" s="5" t="s">
        <v>130</v>
      </c>
      <c r="K53" s="5">
        <v>24</v>
      </c>
      <c r="L53" t="str">
        <f t="shared" si="1"/>
        <v>Available</v>
      </c>
      <c r="M53" t="str">
        <f t="shared" si="2"/>
        <v>Sufficient Stock</v>
      </c>
    </row>
    <row r="54" spans="1:13" x14ac:dyDescent="0.25">
      <c r="A54" s="5" t="s">
        <v>59</v>
      </c>
      <c r="B54" s="5" t="s">
        <v>189</v>
      </c>
      <c r="C54" s="5" t="s">
        <v>169</v>
      </c>
      <c r="D54" s="6">
        <v>45435</v>
      </c>
      <c r="E54" s="22">
        <v>22000</v>
      </c>
      <c r="F54" s="12">
        <v>36000</v>
      </c>
      <c r="G54" s="5">
        <v>230</v>
      </c>
      <c r="H54">
        <f>SUMIFS(Sales!G:G,Sales!B:B,tblProducts[[#This Row],[Product_id]])</f>
        <v>37</v>
      </c>
      <c r="I54">
        <f t="shared" si="3"/>
        <v>193</v>
      </c>
      <c r="J54" s="5" t="s">
        <v>130</v>
      </c>
      <c r="K54" s="5">
        <v>24</v>
      </c>
      <c r="L54" t="str">
        <f t="shared" si="1"/>
        <v>Available</v>
      </c>
      <c r="M54" t="str">
        <f t="shared" si="2"/>
        <v>Sufficient Stock</v>
      </c>
    </row>
    <row r="55" spans="1:13" x14ac:dyDescent="0.25">
      <c r="A55" s="5" t="s">
        <v>60</v>
      </c>
      <c r="B55" s="5" t="s">
        <v>190</v>
      </c>
      <c r="C55" s="5" t="s">
        <v>169</v>
      </c>
      <c r="D55" s="6">
        <v>45436</v>
      </c>
      <c r="E55" s="22">
        <v>35000</v>
      </c>
      <c r="F55" s="12">
        <v>55000</v>
      </c>
      <c r="G55" s="5">
        <v>40</v>
      </c>
      <c r="H55">
        <f>SUMIFS(Sales!G:G,Sales!B:B,tblProducts[[#This Row],[Product_id]])</f>
        <v>15</v>
      </c>
      <c r="I55">
        <f t="shared" si="3"/>
        <v>25</v>
      </c>
      <c r="J55" s="5" t="s">
        <v>130</v>
      </c>
      <c r="K55" s="5">
        <v>24</v>
      </c>
      <c r="L55" t="str">
        <f t="shared" si="1"/>
        <v>Available</v>
      </c>
      <c r="M55" t="str">
        <f t="shared" si="2"/>
        <v>Low Stock</v>
      </c>
    </row>
    <row r="56" spans="1:13" x14ac:dyDescent="0.25">
      <c r="A56" s="5" t="s">
        <v>61</v>
      </c>
      <c r="B56" s="5" t="s">
        <v>191</v>
      </c>
      <c r="C56" s="5" t="s">
        <v>925</v>
      </c>
      <c r="D56" s="6">
        <v>45437</v>
      </c>
      <c r="E56" s="22">
        <v>295000</v>
      </c>
      <c r="F56" s="12">
        <v>410000</v>
      </c>
      <c r="G56" s="5">
        <v>100</v>
      </c>
      <c r="H56">
        <f>SUMIFS(Sales!G:G,Sales!B:B,tblProducts[[#This Row],[Product_id]])</f>
        <v>46</v>
      </c>
      <c r="I56">
        <f t="shared" si="3"/>
        <v>54</v>
      </c>
      <c r="J56" s="5" t="s">
        <v>130</v>
      </c>
      <c r="K56" s="5">
        <v>24</v>
      </c>
      <c r="L56" t="str">
        <f t="shared" si="1"/>
        <v>Available</v>
      </c>
      <c r="M56" t="str">
        <f t="shared" si="2"/>
        <v>Sufficient Stock</v>
      </c>
    </row>
    <row r="57" spans="1:13" x14ac:dyDescent="0.25">
      <c r="A57" s="5" t="s">
        <v>62</v>
      </c>
      <c r="B57" s="5" t="s">
        <v>192</v>
      </c>
      <c r="C57" s="5" t="s">
        <v>925</v>
      </c>
      <c r="D57" s="6">
        <v>45438</v>
      </c>
      <c r="E57" s="22">
        <v>410000</v>
      </c>
      <c r="F57" s="12">
        <v>560000</v>
      </c>
      <c r="G57" s="5">
        <v>140</v>
      </c>
      <c r="H57">
        <f>SUMIFS(Sales!G:G,Sales!B:B,tblProducts[[#This Row],[Product_id]])</f>
        <v>17</v>
      </c>
      <c r="I57">
        <f t="shared" si="3"/>
        <v>123</v>
      </c>
      <c r="J57" s="5" t="s">
        <v>130</v>
      </c>
      <c r="K57" s="5">
        <v>24</v>
      </c>
      <c r="L57" t="str">
        <f t="shared" si="1"/>
        <v>Available</v>
      </c>
      <c r="M57" t="str">
        <f t="shared" si="2"/>
        <v>Sufficient Stock</v>
      </c>
    </row>
    <row r="58" spans="1:13" x14ac:dyDescent="0.25">
      <c r="A58" s="5" t="s">
        <v>63</v>
      </c>
      <c r="B58" s="5" t="s">
        <v>193</v>
      </c>
      <c r="C58" s="5" t="s">
        <v>927</v>
      </c>
      <c r="D58" s="6">
        <v>45439</v>
      </c>
      <c r="E58" s="22">
        <v>68000</v>
      </c>
      <c r="F58" s="12">
        <v>105000</v>
      </c>
      <c r="G58" s="5">
        <v>250</v>
      </c>
      <c r="H58">
        <f>SUMIFS(Sales!G:G,Sales!B:B,tblProducts[[#This Row],[Product_id]])</f>
        <v>16</v>
      </c>
      <c r="I58">
        <f t="shared" si="3"/>
        <v>234</v>
      </c>
      <c r="J58" s="5" t="s">
        <v>130</v>
      </c>
      <c r="K58" s="5">
        <v>24</v>
      </c>
      <c r="L58" t="str">
        <f t="shared" si="1"/>
        <v>Available</v>
      </c>
      <c r="M58" t="str">
        <f t="shared" si="2"/>
        <v>Sufficient Stock</v>
      </c>
    </row>
    <row r="59" spans="1:13" x14ac:dyDescent="0.25">
      <c r="A59" s="5" t="s">
        <v>64</v>
      </c>
      <c r="B59" s="5" t="s">
        <v>194</v>
      </c>
      <c r="C59" s="5" t="s">
        <v>174</v>
      </c>
      <c r="D59" s="6">
        <v>45440</v>
      </c>
      <c r="E59" s="22">
        <v>29000</v>
      </c>
      <c r="F59" s="12">
        <v>46000</v>
      </c>
      <c r="G59" s="5">
        <v>160</v>
      </c>
      <c r="H59">
        <f>SUMIFS(Sales!G:G,Sales!B:B,tblProducts[[#This Row],[Product_id]])</f>
        <v>17</v>
      </c>
      <c r="I59">
        <f t="shared" si="3"/>
        <v>143</v>
      </c>
      <c r="J59" s="5" t="s">
        <v>130</v>
      </c>
      <c r="K59" s="5">
        <v>24</v>
      </c>
      <c r="L59" t="str">
        <f t="shared" si="1"/>
        <v>Available</v>
      </c>
      <c r="M59" t="str">
        <f t="shared" si="2"/>
        <v>Sufficient Stock</v>
      </c>
    </row>
    <row r="60" spans="1:13" x14ac:dyDescent="0.25">
      <c r="A60" s="5" t="s">
        <v>65</v>
      </c>
      <c r="B60" s="5" t="s">
        <v>195</v>
      </c>
      <c r="C60" s="5" t="s">
        <v>174</v>
      </c>
      <c r="D60" s="6">
        <v>45441</v>
      </c>
      <c r="E60" s="22">
        <v>52000</v>
      </c>
      <c r="F60" s="12">
        <v>78000</v>
      </c>
      <c r="G60" s="5">
        <v>90</v>
      </c>
      <c r="H60">
        <f>SUMIFS(Sales!G:G,Sales!B:B,tblProducts[[#This Row],[Product_id]])</f>
        <v>24</v>
      </c>
      <c r="I60">
        <f t="shared" si="3"/>
        <v>66</v>
      </c>
      <c r="J60" s="5" t="s">
        <v>130</v>
      </c>
      <c r="K60" s="5">
        <v>24</v>
      </c>
      <c r="L60" t="str">
        <f t="shared" si="1"/>
        <v>Available</v>
      </c>
      <c r="M60" t="str">
        <f t="shared" si="2"/>
        <v>Sufficient Stock</v>
      </c>
    </row>
    <row r="61" spans="1:13" x14ac:dyDescent="0.25">
      <c r="A61" s="5" t="s">
        <v>66</v>
      </c>
      <c r="B61" s="5" t="s">
        <v>196</v>
      </c>
      <c r="C61" s="5" t="s">
        <v>927</v>
      </c>
      <c r="D61" s="6">
        <v>45442</v>
      </c>
      <c r="E61" s="22">
        <v>34000</v>
      </c>
      <c r="F61" s="12">
        <v>52000</v>
      </c>
      <c r="G61" s="5">
        <v>180</v>
      </c>
      <c r="H61">
        <f>SUMIFS(Sales!G:G,Sales!B:B,tblProducts[[#This Row],[Product_id]])</f>
        <v>12</v>
      </c>
      <c r="I61">
        <f t="shared" si="3"/>
        <v>168</v>
      </c>
      <c r="J61" s="5" t="s">
        <v>130</v>
      </c>
      <c r="K61" s="5">
        <v>24</v>
      </c>
      <c r="L61" t="str">
        <f t="shared" si="1"/>
        <v>Available</v>
      </c>
      <c r="M61" t="str">
        <f t="shared" si="2"/>
        <v>Sufficient Stock</v>
      </c>
    </row>
    <row r="62" spans="1:13" x14ac:dyDescent="0.25">
      <c r="A62" s="5" t="s">
        <v>67</v>
      </c>
      <c r="B62" s="5" t="s">
        <v>197</v>
      </c>
      <c r="C62" s="5" t="s">
        <v>927</v>
      </c>
      <c r="D62" s="6">
        <v>45444</v>
      </c>
      <c r="E62" s="22">
        <v>18500</v>
      </c>
      <c r="F62" s="12">
        <v>29500</v>
      </c>
      <c r="G62" s="5">
        <v>150</v>
      </c>
      <c r="H62">
        <f>SUMIFS(Sales!G:G,Sales!B:B,tblProducts[[#This Row],[Product_id]])</f>
        <v>43</v>
      </c>
      <c r="I62">
        <f t="shared" si="3"/>
        <v>107</v>
      </c>
      <c r="J62" s="5" t="s">
        <v>130</v>
      </c>
      <c r="K62" s="5">
        <v>24</v>
      </c>
      <c r="L62" t="str">
        <f t="shared" si="1"/>
        <v>Available</v>
      </c>
      <c r="M62" t="str">
        <f t="shared" si="2"/>
        <v>Sufficient Stock</v>
      </c>
    </row>
    <row r="63" spans="1:13" x14ac:dyDescent="0.25">
      <c r="A63" s="5" t="s">
        <v>68</v>
      </c>
      <c r="B63" s="5" t="s">
        <v>198</v>
      </c>
      <c r="C63" s="5" t="s">
        <v>927</v>
      </c>
      <c r="D63" s="6">
        <v>45445</v>
      </c>
      <c r="E63" s="22">
        <v>9500</v>
      </c>
      <c r="F63" s="12">
        <v>16500</v>
      </c>
      <c r="G63" s="5">
        <v>160</v>
      </c>
      <c r="H63">
        <f>SUMIFS(Sales!G:G,Sales!B:B,tblProducts[[#This Row],[Product_id]])</f>
        <v>31</v>
      </c>
      <c r="I63">
        <f t="shared" si="3"/>
        <v>129</v>
      </c>
      <c r="J63" s="5" t="s">
        <v>130</v>
      </c>
      <c r="K63" s="5">
        <v>24</v>
      </c>
      <c r="L63" t="str">
        <f t="shared" si="1"/>
        <v>Available</v>
      </c>
      <c r="M63" t="str">
        <f t="shared" si="2"/>
        <v>Sufficient Stock</v>
      </c>
    </row>
    <row r="64" spans="1:13" x14ac:dyDescent="0.25">
      <c r="A64" s="5" t="s">
        <v>69</v>
      </c>
      <c r="B64" s="5" t="s">
        <v>199</v>
      </c>
      <c r="C64" s="5" t="s">
        <v>927</v>
      </c>
      <c r="D64" s="6">
        <v>45446</v>
      </c>
      <c r="E64" s="22">
        <v>12000</v>
      </c>
      <c r="F64" s="12">
        <v>20000</v>
      </c>
      <c r="G64" s="5">
        <v>220</v>
      </c>
      <c r="H64">
        <f>SUMIFS(Sales!G:G,Sales!B:B,tblProducts[[#This Row],[Product_id]])</f>
        <v>12</v>
      </c>
      <c r="I64">
        <f t="shared" si="3"/>
        <v>208</v>
      </c>
      <c r="J64" s="5" t="s">
        <v>130</v>
      </c>
      <c r="K64" s="5">
        <v>24</v>
      </c>
      <c r="L64" t="str">
        <f t="shared" si="1"/>
        <v>Available</v>
      </c>
      <c r="M64" t="str">
        <f t="shared" si="2"/>
        <v>Sufficient Stock</v>
      </c>
    </row>
    <row r="65" spans="1:13" x14ac:dyDescent="0.25">
      <c r="A65" s="5" t="s">
        <v>70</v>
      </c>
      <c r="B65" s="5" t="s">
        <v>200</v>
      </c>
      <c r="C65" s="5" t="s">
        <v>152</v>
      </c>
      <c r="D65" s="6">
        <v>45447</v>
      </c>
      <c r="E65" s="22">
        <v>210000</v>
      </c>
      <c r="F65" s="12">
        <v>295000</v>
      </c>
      <c r="G65" s="5">
        <v>80</v>
      </c>
      <c r="H65">
        <f>SUMIFS(Sales!G:G,Sales!B:B,tblProducts[[#This Row],[Product_id]])</f>
        <v>36</v>
      </c>
      <c r="I65">
        <f t="shared" si="3"/>
        <v>44</v>
      </c>
      <c r="J65" s="5" t="s">
        <v>130</v>
      </c>
      <c r="K65" s="5">
        <v>24</v>
      </c>
      <c r="L65" t="str">
        <f t="shared" si="1"/>
        <v>Available</v>
      </c>
      <c r="M65" t="str">
        <f t="shared" si="2"/>
        <v>Low Stock</v>
      </c>
    </row>
    <row r="66" spans="1:13" x14ac:dyDescent="0.25">
      <c r="A66" s="5" t="s">
        <v>71</v>
      </c>
      <c r="B66" s="5" t="s">
        <v>201</v>
      </c>
      <c r="C66" s="5" t="s">
        <v>133</v>
      </c>
      <c r="D66" s="6">
        <v>45448</v>
      </c>
      <c r="E66" s="22">
        <v>275000</v>
      </c>
      <c r="F66" s="12">
        <v>385000</v>
      </c>
      <c r="G66" s="5">
        <v>180</v>
      </c>
      <c r="H66">
        <f>SUMIFS(Sales!G:G,Sales!B:B,tblProducts[[#This Row],[Product_id]])</f>
        <v>22</v>
      </c>
      <c r="I66">
        <f t="shared" ref="I66:I97" si="4">G66-H66</f>
        <v>158</v>
      </c>
      <c r="J66" s="5" t="s">
        <v>130</v>
      </c>
      <c r="K66" s="5">
        <v>24</v>
      </c>
      <c r="L66" t="str">
        <f t="shared" si="1"/>
        <v>Available</v>
      </c>
      <c r="M66" t="str">
        <f t="shared" si="2"/>
        <v>Sufficient Stock</v>
      </c>
    </row>
    <row r="67" spans="1:13" x14ac:dyDescent="0.25">
      <c r="A67" s="5" t="s">
        <v>72</v>
      </c>
      <c r="B67" s="5" t="s">
        <v>202</v>
      </c>
      <c r="C67" s="5" t="s">
        <v>203</v>
      </c>
      <c r="D67" s="6">
        <v>45449</v>
      </c>
      <c r="E67" s="22">
        <v>480000</v>
      </c>
      <c r="F67" s="12">
        <v>650000</v>
      </c>
      <c r="G67" s="5">
        <v>200</v>
      </c>
      <c r="H67">
        <f>SUMIFS(Sales!G:G,Sales!B:B,tblProducts[[#This Row],[Product_id]])</f>
        <v>38</v>
      </c>
      <c r="I67">
        <f t="shared" si="4"/>
        <v>162</v>
      </c>
      <c r="J67" s="5" t="s">
        <v>130</v>
      </c>
      <c r="K67" s="5">
        <v>24</v>
      </c>
      <c r="L67" t="str">
        <f t="shared" ref="L67:L107" si="5">IF(I67=0,"Not Available","Available")</f>
        <v>Available</v>
      </c>
      <c r="M67" t="str">
        <f t="shared" ref="M67:M107" si="6">IF(I67&lt;50,"Low Stock","Sufficient Stock")</f>
        <v>Sufficient Stock</v>
      </c>
    </row>
    <row r="68" spans="1:13" x14ac:dyDescent="0.25">
      <c r="A68" s="5" t="s">
        <v>73</v>
      </c>
      <c r="B68" s="5" t="s">
        <v>204</v>
      </c>
      <c r="C68" s="5" t="s">
        <v>203</v>
      </c>
      <c r="D68" s="6">
        <v>45450</v>
      </c>
      <c r="E68" s="22">
        <v>315000</v>
      </c>
      <c r="F68" s="12">
        <v>435000</v>
      </c>
      <c r="G68" s="5">
        <v>45</v>
      </c>
      <c r="H68">
        <f>SUMIFS(Sales!G:G,Sales!B:B,tblProducts[[#This Row],[Product_id]])</f>
        <v>0</v>
      </c>
      <c r="I68">
        <f t="shared" si="4"/>
        <v>45</v>
      </c>
      <c r="J68" s="5" t="s">
        <v>130</v>
      </c>
      <c r="K68" s="5">
        <v>24</v>
      </c>
      <c r="L68" t="str">
        <f t="shared" si="5"/>
        <v>Available</v>
      </c>
      <c r="M68" t="str">
        <f t="shared" si="6"/>
        <v>Low Stock</v>
      </c>
    </row>
    <row r="69" spans="1:13" x14ac:dyDescent="0.25">
      <c r="A69" s="5" t="s">
        <v>74</v>
      </c>
      <c r="B69" s="5" t="s">
        <v>205</v>
      </c>
      <c r="C69" s="5" t="s">
        <v>174</v>
      </c>
      <c r="D69" s="6">
        <v>45451</v>
      </c>
      <c r="E69" s="22">
        <v>78000</v>
      </c>
      <c r="F69" s="12">
        <v>115000</v>
      </c>
      <c r="G69" s="5">
        <v>25</v>
      </c>
      <c r="H69">
        <f>SUMIFS(Sales!G:G,Sales!B:B,tblProducts[[#This Row],[Product_id]])</f>
        <v>0</v>
      </c>
      <c r="I69">
        <f t="shared" si="4"/>
        <v>25</v>
      </c>
      <c r="J69" s="5" t="s">
        <v>130</v>
      </c>
      <c r="K69" s="5">
        <v>24</v>
      </c>
      <c r="L69" t="str">
        <f t="shared" si="5"/>
        <v>Available</v>
      </c>
      <c r="M69" t="str">
        <f t="shared" si="6"/>
        <v>Low Stock</v>
      </c>
    </row>
    <row r="70" spans="1:13" x14ac:dyDescent="0.25">
      <c r="A70" s="5" t="s">
        <v>75</v>
      </c>
      <c r="B70" s="5" t="s">
        <v>206</v>
      </c>
      <c r="C70" s="5" t="s">
        <v>207</v>
      </c>
      <c r="D70" s="6">
        <v>45452</v>
      </c>
      <c r="E70" s="22">
        <v>520000</v>
      </c>
      <c r="F70" s="12">
        <v>710000</v>
      </c>
      <c r="G70" s="5">
        <v>20</v>
      </c>
      <c r="H70">
        <f>SUMIFS(Sales!G:G,Sales!B:B,tblProducts[[#This Row],[Product_id]])</f>
        <v>5</v>
      </c>
      <c r="I70">
        <f t="shared" si="4"/>
        <v>15</v>
      </c>
      <c r="J70" s="5" t="s">
        <v>130</v>
      </c>
      <c r="K70" s="5">
        <v>24</v>
      </c>
      <c r="L70" t="str">
        <f t="shared" si="5"/>
        <v>Available</v>
      </c>
      <c r="M70" t="str">
        <f t="shared" si="6"/>
        <v>Low Stock</v>
      </c>
    </row>
    <row r="71" spans="1:13" x14ac:dyDescent="0.25">
      <c r="A71" s="5" t="s">
        <v>76</v>
      </c>
      <c r="B71" s="5" t="s">
        <v>208</v>
      </c>
      <c r="C71" s="5" t="s">
        <v>207</v>
      </c>
      <c r="D71" s="6">
        <v>45453</v>
      </c>
      <c r="E71" s="22">
        <v>145000</v>
      </c>
      <c r="F71" s="12">
        <v>205000</v>
      </c>
      <c r="G71" s="5">
        <v>90</v>
      </c>
      <c r="H71">
        <f>SUMIFS(Sales!G:G,Sales!B:B,tblProducts[[#This Row],[Product_id]])</f>
        <v>16</v>
      </c>
      <c r="I71">
        <f t="shared" si="4"/>
        <v>74</v>
      </c>
      <c r="J71" s="5" t="s">
        <v>130</v>
      </c>
      <c r="K71" s="5">
        <v>24</v>
      </c>
      <c r="L71" t="str">
        <f t="shared" si="5"/>
        <v>Available</v>
      </c>
      <c r="M71" t="str">
        <f t="shared" si="6"/>
        <v>Sufficient Stock</v>
      </c>
    </row>
    <row r="72" spans="1:13" x14ac:dyDescent="0.25">
      <c r="A72" s="5" t="s">
        <v>77</v>
      </c>
      <c r="B72" s="5" t="s">
        <v>122</v>
      </c>
      <c r="C72" s="5" t="s">
        <v>927</v>
      </c>
      <c r="D72" s="6">
        <v>45454</v>
      </c>
      <c r="E72" s="22">
        <v>42000</v>
      </c>
      <c r="F72" s="12">
        <v>65000</v>
      </c>
      <c r="G72" s="5">
        <v>190</v>
      </c>
      <c r="H72">
        <f>SUMIFS(Sales!G:G,Sales!B:B,tblProducts[[#This Row],[Product_id]])</f>
        <v>1</v>
      </c>
      <c r="I72">
        <f t="shared" si="4"/>
        <v>189</v>
      </c>
      <c r="J72" s="5" t="s">
        <v>130</v>
      </c>
      <c r="K72" s="5">
        <v>24</v>
      </c>
      <c r="L72" t="str">
        <f t="shared" si="5"/>
        <v>Available</v>
      </c>
      <c r="M72" t="str">
        <f t="shared" si="6"/>
        <v>Sufficient Stock</v>
      </c>
    </row>
    <row r="73" spans="1:13" x14ac:dyDescent="0.25">
      <c r="A73" s="5" t="s">
        <v>78</v>
      </c>
      <c r="B73" s="5" t="s">
        <v>209</v>
      </c>
      <c r="C73" s="5" t="s">
        <v>927</v>
      </c>
      <c r="D73" s="6">
        <v>45455</v>
      </c>
      <c r="E73" s="22">
        <v>56000</v>
      </c>
      <c r="F73" s="12">
        <v>85000</v>
      </c>
      <c r="G73" s="5">
        <v>130</v>
      </c>
      <c r="H73">
        <f>SUMIFS(Sales!G:G,Sales!B:B,tblProducts[[#This Row],[Product_id]])</f>
        <v>11</v>
      </c>
      <c r="I73">
        <f t="shared" si="4"/>
        <v>119</v>
      </c>
      <c r="J73" s="5" t="s">
        <v>130</v>
      </c>
      <c r="K73" s="5">
        <v>24</v>
      </c>
      <c r="L73" t="str">
        <f t="shared" si="5"/>
        <v>Available</v>
      </c>
      <c r="M73" t="str">
        <f t="shared" si="6"/>
        <v>Sufficient Stock</v>
      </c>
    </row>
    <row r="74" spans="1:13" x14ac:dyDescent="0.25">
      <c r="A74" s="5" t="s">
        <v>79</v>
      </c>
      <c r="B74" s="5" t="s">
        <v>210</v>
      </c>
      <c r="C74" s="5" t="s">
        <v>925</v>
      </c>
      <c r="D74" s="6">
        <v>45456</v>
      </c>
      <c r="E74" s="22">
        <v>390000</v>
      </c>
      <c r="F74" s="12">
        <v>540000</v>
      </c>
      <c r="G74" s="5">
        <v>70</v>
      </c>
      <c r="H74">
        <f>SUMIFS(Sales!G:G,Sales!B:B,tblProducts[[#This Row],[Product_id]])</f>
        <v>20</v>
      </c>
      <c r="I74">
        <f t="shared" si="4"/>
        <v>50</v>
      </c>
      <c r="J74" s="5" t="s">
        <v>130</v>
      </c>
      <c r="K74" s="5">
        <v>24</v>
      </c>
      <c r="L74" t="str">
        <f t="shared" si="5"/>
        <v>Available</v>
      </c>
      <c r="M74" t="str">
        <f t="shared" si="6"/>
        <v>Sufficient Stock</v>
      </c>
    </row>
    <row r="75" spans="1:13" x14ac:dyDescent="0.25">
      <c r="A75" s="5" t="s">
        <v>80</v>
      </c>
      <c r="B75" s="5" t="s">
        <v>211</v>
      </c>
      <c r="C75" s="5" t="s">
        <v>927</v>
      </c>
      <c r="D75" s="6">
        <v>45457</v>
      </c>
      <c r="E75" s="22">
        <v>88000</v>
      </c>
      <c r="F75" s="12">
        <v>130000</v>
      </c>
      <c r="G75" s="5">
        <v>160</v>
      </c>
      <c r="H75">
        <f>SUMIFS(Sales!G:G,Sales!B:B,tblProducts[[#This Row],[Product_id]])</f>
        <v>13</v>
      </c>
      <c r="I75">
        <f t="shared" si="4"/>
        <v>147</v>
      </c>
      <c r="J75" s="5" t="s">
        <v>130</v>
      </c>
      <c r="K75" s="5">
        <v>24</v>
      </c>
      <c r="L75" t="str">
        <f t="shared" si="5"/>
        <v>Available</v>
      </c>
      <c r="M75" t="str">
        <f t="shared" si="6"/>
        <v>Sufficient Stock</v>
      </c>
    </row>
    <row r="76" spans="1:13" x14ac:dyDescent="0.25">
      <c r="A76" s="5" t="s">
        <v>81</v>
      </c>
      <c r="B76" s="5" t="s">
        <v>212</v>
      </c>
      <c r="C76" s="5" t="s">
        <v>925</v>
      </c>
      <c r="D76" s="6">
        <v>45458</v>
      </c>
      <c r="E76" s="22">
        <v>125000</v>
      </c>
      <c r="F76" s="12">
        <v>185000</v>
      </c>
      <c r="G76" s="5">
        <v>100</v>
      </c>
      <c r="H76">
        <f>SUMIFS(Sales!G:G,Sales!B:B,tblProducts[[#This Row],[Product_id]])</f>
        <v>45</v>
      </c>
      <c r="I76">
        <f t="shared" si="4"/>
        <v>55</v>
      </c>
      <c r="J76" s="5" t="s">
        <v>130</v>
      </c>
      <c r="K76" s="5">
        <v>24</v>
      </c>
      <c r="L76" t="str">
        <f t="shared" si="5"/>
        <v>Available</v>
      </c>
      <c r="M76" t="str">
        <f t="shared" si="6"/>
        <v>Sufficient Stock</v>
      </c>
    </row>
    <row r="77" spans="1:13" x14ac:dyDescent="0.25">
      <c r="A77" s="5" t="s">
        <v>82</v>
      </c>
      <c r="B77" s="5" t="s">
        <v>213</v>
      </c>
      <c r="C77" s="5" t="s">
        <v>152</v>
      </c>
      <c r="D77" s="6">
        <v>45459</v>
      </c>
      <c r="E77" s="22">
        <v>40000</v>
      </c>
      <c r="F77" s="12">
        <v>65000</v>
      </c>
      <c r="G77" s="5">
        <v>140</v>
      </c>
      <c r="H77">
        <f>SUMIFS(Sales!G:G,Sales!B:B,tblProducts[[#This Row],[Product_id]])</f>
        <v>18</v>
      </c>
      <c r="I77">
        <f t="shared" si="4"/>
        <v>122</v>
      </c>
      <c r="J77" s="5" t="s">
        <v>130</v>
      </c>
      <c r="K77" s="5">
        <v>24</v>
      </c>
      <c r="L77" t="str">
        <f t="shared" si="5"/>
        <v>Available</v>
      </c>
      <c r="M77" t="str">
        <f t="shared" si="6"/>
        <v>Sufficient Stock</v>
      </c>
    </row>
    <row r="78" spans="1:13" x14ac:dyDescent="0.25">
      <c r="A78" s="5" t="s">
        <v>83</v>
      </c>
      <c r="B78" s="5" t="s">
        <v>214</v>
      </c>
      <c r="C78" s="5" t="s">
        <v>167</v>
      </c>
      <c r="D78" s="6">
        <v>45460</v>
      </c>
      <c r="E78" s="22">
        <v>28000</v>
      </c>
      <c r="F78" s="12">
        <v>45000</v>
      </c>
      <c r="G78" s="5">
        <v>200</v>
      </c>
      <c r="H78">
        <f>SUMIFS(Sales!G:G,Sales!B:B,tblProducts[[#This Row],[Product_id]])</f>
        <v>10</v>
      </c>
      <c r="I78">
        <f t="shared" si="4"/>
        <v>190</v>
      </c>
      <c r="J78" s="5" t="s">
        <v>130</v>
      </c>
      <c r="K78" s="5">
        <v>24</v>
      </c>
      <c r="L78" t="str">
        <f t="shared" si="5"/>
        <v>Available</v>
      </c>
      <c r="M78" t="str">
        <f t="shared" si="6"/>
        <v>Sufficient Stock</v>
      </c>
    </row>
    <row r="79" spans="1:13" x14ac:dyDescent="0.25">
      <c r="A79" s="5" t="s">
        <v>84</v>
      </c>
      <c r="B79" s="5" t="s">
        <v>215</v>
      </c>
      <c r="C79" s="5" t="s">
        <v>163</v>
      </c>
      <c r="D79" s="6">
        <v>45461</v>
      </c>
      <c r="E79" s="22">
        <v>65000</v>
      </c>
      <c r="F79" s="12">
        <v>85000</v>
      </c>
      <c r="G79" s="5">
        <v>150</v>
      </c>
      <c r="H79">
        <f>SUMIFS(Sales!G:G,Sales!B:B,tblProducts[[#This Row],[Product_id]])</f>
        <v>21</v>
      </c>
      <c r="I79">
        <f t="shared" si="4"/>
        <v>129</v>
      </c>
      <c r="J79" s="5" t="s">
        <v>130</v>
      </c>
      <c r="K79" s="5">
        <v>24</v>
      </c>
      <c r="L79" t="str">
        <f t="shared" si="5"/>
        <v>Available</v>
      </c>
      <c r="M79" t="str">
        <f t="shared" si="6"/>
        <v>Sufficient Stock</v>
      </c>
    </row>
    <row r="80" spans="1:13" x14ac:dyDescent="0.25">
      <c r="A80" s="5" t="s">
        <v>85</v>
      </c>
      <c r="B80" s="5" t="s">
        <v>216</v>
      </c>
      <c r="C80" s="5" t="s">
        <v>163</v>
      </c>
      <c r="D80" s="6">
        <v>45462</v>
      </c>
      <c r="E80" s="22">
        <v>42000</v>
      </c>
      <c r="F80" s="12">
        <v>68000</v>
      </c>
      <c r="G80" s="5">
        <v>220</v>
      </c>
      <c r="H80">
        <f>SUMIFS(Sales!G:G,Sales!B:B,tblProducts[[#This Row],[Product_id]])</f>
        <v>85</v>
      </c>
      <c r="I80">
        <f t="shared" si="4"/>
        <v>135</v>
      </c>
      <c r="J80" s="5" t="s">
        <v>130</v>
      </c>
      <c r="K80" s="5">
        <v>24</v>
      </c>
      <c r="L80" t="str">
        <f t="shared" si="5"/>
        <v>Available</v>
      </c>
      <c r="M80" t="str">
        <f t="shared" si="6"/>
        <v>Sufficient Stock</v>
      </c>
    </row>
    <row r="81" spans="1:13" x14ac:dyDescent="0.25">
      <c r="A81" s="5" t="s">
        <v>86</v>
      </c>
      <c r="B81" s="5" t="s">
        <v>217</v>
      </c>
      <c r="C81" s="5" t="s">
        <v>174</v>
      </c>
      <c r="D81" s="6">
        <v>45463</v>
      </c>
      <c r="E81" s="22">
        <v>35000</v>
      </c>
      <c r="F81" s="12">
        <v>56000</v>
      </c>
      <c r="G81" s="5">
        <v>240</v>
      </c>
      <c r="H81">
        <f>SUMIFS(Sales!G:G,Sales!B:B,tblProducts[[#This Row],[Product_id]])</f>
        <v>24</v>
      </c>
      <c r="I81">
        <f t="shared" si="4"/>
        <v>216</v>
      </c>
      <c r="J81" s="5" t="s">
        <v>130</v>
      </c>
      <c r="K81" s="5">
        <v>24</v>
      </c>
      <c r="L81" t="str">
        <f t="shared" si="5"/>
        <v>Available</v>
      </c>
      <c r="M81" t="str">
        <f t="shared" si="6"/>
        <v>Sufficient Stock</v>
      </c>
    </row>
    <row r="82" spans="1:13" x14ac:dyDescent="0.25">
      <c r="A82" s="5" t="s">
        <v>87</v>
      </c>
      <c r="B82" s="5" t="s">
        <v>121</v>
      </c>
      <c r="C82" s="5" t="s">
        <v>167</v>
      </c>
      <c r="D82" s="6">
        <v>45464</v>
      </c>
      <c r="E82" s="22">
        <v>22000</v>
      </c>
      <c r="F82" s="12">
        <v>36000</v>
      </c>
      <c r="G82" s="5">
        <v>140</v>
      </c>
      <c r="H82">
        <f>SUMIFS(Sales!G:G,Sales!B:B,tblProducts[[#This Row],[Product_id]])</f>
        <v>14</v>
      </c>
      <c r="I82">
        <f t="shared" si="4"/>
        <v>126</v>
      </c>
      <c r="J82" s="5" t="s">
        <v>130</v>
      </c>
      <c r="K82" s="5">
        <v>24</v>
      </c>
      <c r="L82" t="str">
        <f t="shared" si="5"/>
        <v>Available</v>
      </c>
      <c r="M82" t="str">
        <f t="shared" si="6"/>
        <v>Sufficient Stock</v>
      </c>
    </row>
    <row r="83" spans="1:13" x14ac:dyDescent="0.25">
      <c r="A83" s="5" t="s">
        <v>88</v>
      </c>
      <c r="B83" s="5" t="s">
        <v>218</v>
      </c>
      <c r="C83" s="5" t="s">
        <v>927</v>
      </c>
      <c r="D83" s="6">
        <v>45465</v>
      </c>
      <c r="E83" s="22">
        <v>16500</v>
      </c>
      <c r="F83" s="12">
        <v>28000</v>
      </c>
      <c r="G83" s="5">
        <v>110</v>
      </c>
      <c r="H83">
        <f>SUMIFS(Sales!G:G,Sales!B:B,tblProducts[[#This Row],[Product_id]])</f>
        <v>0</v>
      </c>
      <c r="I83">
        <f t="shared" si="4"/>
        <v>110</v>
      </c>
      <c r="J83" s="5" t="s">
        <v>130</v>
      </c>
      <c r="K83" s="5">
        <v>24</v>
      </c>
      <c r="L83" t="str">
        <f t="shared" si="5"/>
        <v>Available</v>
      </c>
      <c r="M83" t="str">
        <f t="shared" si="6"/>
        <v>Sufficient Stock</v>
      </c>
    </row>
    <row r="84" spans="1:13" x14ac:dyDescent="0.25">
      <c r="A84" s="5" t="s">
        <v>89</v>
      </c>
      <c r="B84" s="5" t="s">
        <v>219</v>
      </c>
      <c r="C84" s="5" t="s">
        <v>927</v>
      </c>
      <c r="D84" s="6">
        <v>45466</v>
      </c>
      <c r="E84" s="22">
        <v>8500</v>
      </c>
      <c r="F84" s="12">
        <v>15000</v>
      </c>
      <c r="G84" s="5">
        <v>70</v>
      </c>
      <c r="H84">
        <f>SUMIFS(Sales!G:G,Sales!B:B,tblProducts[[#This Row],[Product_id]])</f>
        <v>6</v>
      </c>
      <c r="I84">
        <f t="shared" si="4"/>
        <v>64</v>
      </c>
      <c r="J84" s="5" t="s">
        <v>130</v>
      </c>
      <c r="K84" s="5">
        <v>24</v>
      </c>
      <c r="L84" t="str">
        <f t="shared" si="5"/>
        <v>Available</v>
      </c>
      <c r="M84" t="str">
        <f t="shared" si="6"/>
        <v>Sufficient Stock</v>
      </c>
    </row>
    <row r="85" spans="1:13" x14ac:dyDescent="0.25">
      <c r="A85" s="5" t="s">
        <v>90</v>
      </c>
      <c r="B85" s="5" t="s">
        <v>220</v>
      </c>
      <c r="C85" s="5" t="s">
        <v>174</v>
      </c>
      <c r="D85" s="6">
        <v>45467</v>
      </c>
      <c r="E85" s="22">
        <v>29000</v>
      </c>
      <c r="F85" s="12">
        <v>46000</v>
      </c>
      <c r="G85" s="5">
        <v>180</v>
      </c>
      <c r="H85">
        <f>SUMIFS(Sales!G:G,Sales!B:B,tblProducts[[#This Row],[Product_id]])</f>
        <v>34</v>
      </c>
      <c r="I85">
        <f t="shared" si="4"/>
        <v>146</v>
      </c>
      <c r="J85" s="5" t="s">
        <v>130</v>
      </c>
      <c r="K85" s="5">
        <v>24</v>
      </c>
      <c r="L85" t="str">
        <f t="shared" si="5"/>
        <v>Available</v>
      </c>
      <c r="M85" t="str">
        <f t="shared" si="6"/>
        <v>Sufficient Stock</v>
      </c>
    </row>
    <row r="86" spans="1:13" x14ac:dyDescent="0.25">
      <c r="A86" s="5" t="s">
        <v>91</v>
      </c>
      <c r="B86" s="5" t="s">
        <v>221</v>
      </c>
      <c r="C86" s="5" t="s">
        <v>152</v>
      </c>
      <c r="D86" s="6">
        <v>45468</v>
      </c>
      <c r="E86" s="22">
        <v>38000</v>
      </c>
      <c r="F86" s="12">
        <v>62000</v>
      </c>
      <c r="G86" s="5">
        <v>160</v>
      </c>
      <c r="H86">
        <f>SUMIFS(Sales!G:G,Sales!B:B,tblProducts[[#This Row],[Product_id]])</f>
        <v>27</v>
      </c>
      <c r="I86">
        <f t="shared" si="4"/>
        <v>133</v>
      </c>
      <c r="J86" s="5" t="s">
        <v>130</v>
      </c>
      <c r="K86" s="5">
        <v>24</v>
      </c>
      <c r="L86" t="str">
        <f t="shared" si="5"/>
        <v>Available</v>
      </c>
      <c r="M86" t="str">
        <f t="shared" si="6"/>
        <v>Sufficient Stock</v>
      </c>
    </row>
    <row r="87" spans="1:13" x14ac:dyDescent="0.25">
      <c r="A87" s="5" t="s">
        <v>92</v>
      </c>
      <c r="B87" s="5" t="s">
        <v>222</v>
      </c>
      <c r="C87" s="5" t="s">
        <v>133</v>
      </c>
      <c r="D87" s="6">
        <v>45469</v>
      </c>
      <c r="E87" s="22">
        <v>165000</v>
      </c>
      <c r="F87" s="12">
        <v>235000</v>
      </c>
      <c r="G87" s="5">
        <v>120</v>
      </c>
      <c r="H87">
        <f>SUMIFS(Sales!G:G,Sales!B:B,tblProducts[[#This Row],[Product_id]])</f>
        <v>37</v>
      </c>
      <c r="I87">
        <f t="shared" si="4"/>
        <v>83</v>
      </c>
      <c r="J87" s="5" t="s">
        <v>130</v>
      </c>
      <c r="K87" s="5">
        <v>24</v>
      </c>
      <c r="L87" t="str">
        <f t="shared" si="5"/>
        <v>Available</v>
      </c>
      <c r="M87" t="str">
        <f t="shared" si="6"/>
        <v>Sufficient Stock</v>
      </c>
    </row>
    <row r="88" spans="1:13" x14ac:dyDescent="0.25">
      <c r="A88" s="5" t="s">
        <v>93</v>
      </c>
      <c r="B88" s="5" t="s">
        <v>223</v>
      </c>
      <c r="C88" s="5" t="s">
        <v>133</v>
      </c>
      <c r="D88" s="6">
        <v>45470</v>
      </c>
      <c r="E88" s="22">
        <v>98000</v>
      </c>
      <c r="F88" s="12">
        <v>145000</v>
      </c>
      <c r="G88" s="5">
        <v>150</v>
      </c>
      <c r="H88">
        <f>SUMIFS(Sales!G:G,Sales!B:B,tblProducts[[#This Row],[Product_id]])</f>
        <v>12</v>
      </c>
      <c r="I88">
        <f t="shared" si="4"/>
        <v>138</v>
      </c>
      <c r="J88" s="5" t="s">
        <v>130</v>
      </c>
      <c r="K88" s="5">
        <v>24</v>
      </c>
      <c r="L88" t="str">
        <f t="shared" si="5"/>
        <v>Available</v>
      </c>
      <c r="M88" t="str">
        <f t="shared" si="6"/>
        <v>Sufficient Stock</v>
      </c>
    </row>
    <row r="89" spans="1:13" x14ac:dyDescent="0.25">
      <c r="A89" s="5" t="s">
        <v>94</v>
      </c>
      <c r="B89" s="5" t="s">
        <v>224</v>
      </c>
      <c r="C89" s="5" t="s">
        <v>925</v>
      </c>
      <c r="D89" s="6">
        <v>45471</v>
      </c>
      <c r="E89" s="22">
        <v>275000</v>
      </c>
      <c r="F89" s="12">
        <v>385000</v>
      </c>
      <c r="G89" s="5">
        <v>80</v>
      </c>
      <c r="H89">
        <f>SUMIFS(Sales!G:G,Sales!B:B,tblProducts[[#This Row],[Product_id]])</f>
        <v>15</v>
      </c>
      <c r="I89">
        <f t="shared" si="4"/>
        <v>65</v>
      </c>
      <c r="J89" s="5" t="s">
        <v>130</v>
      </c>
      <c r="K89" s="5">
        <v>24</v>
      </c>
      <c r="L89" t="str">
        <f t="shared" si="5"/>
        <v>Available</v>
      </c>
      <c r="M89" t="str">
        <f t="shared" si="6"/>
        <v>Sufficient Stock</v>
      </c>
    </row>
    <row r="90" spans="1:13" x14ac:dyDescent="0.25">
      <c r="A90" s="5" t="s">
        <v>95</v>
      </c>
      <c r="B90" s="5" t="s">
        <v>225</v>
      </c>
      <c r="C90" s="5" t="s">
        <v>927</v>
      </c>
      <c r="D90" s="6">
        <v>45472</v>
      </c>
      <c r="E90" s="22">
        <v>210000</v>
      </c>
      <c r="F90" s="12">
        <v>295000</v>
      </c>
      <c r="G90" s="5">
        <v>140</v>
      </c>
      <c r="H90">
        <f>SUMIFS(Sales!G:G,Sales!B:B,tblProducts[[#This Row],[Product_id]])</f>
        <v>17</v>
      </c>
      <c r="I90">
        <f t="shared" si="4"/>
        <v>123</v>
      </c>
      <c r="J90" s="5" t="s">
        <v>130</v>
      </c>
      <c r="K90" s="5">
        <v>24</v>
      </c>
      <c r="L90" t="str">
        <f t="shared" si="5"/>
        <v>Available</v>
      </c>
      <c r="M90" t="str">
        <f t="shared" si="6"/>
        <v>Sufficient Stock</v>
      </c>
    </row>
    <row r="91" spans="1:13" x14ac:dyDescent="0.25">
      <c r="A91" s="5" t="s">
        <v>96</v>
      </c>
      <c r="B91" s="5" t="s">
        <v>226</v>
      </c>
      <c r="C91" s="5" t="s">
        <v>163</v>
      </c>
      <c r="D91" s="6">
        <v>45473</v>
      </c>
      <c r="E91" s="22">
        <v>320000</v>
      </c>
      <c r="F91" s="12">
        <v>450000</v>
      </c>
      <c r="G91" s="5">
        <v>190</v>
      </c>
      <c r="H91">
        <f>SUMIFS(Sales!G:G,Sales!B:B,tblProducts[[#This Row],[Product_id]])</f>
        <v>50</v>
      </c>
      <c r="I91">
        <f t="shared" si="4"/>
        <v>140</v>
      </c>
      <c r="J91" s="5" t="s">
        <v>130</v>
      </c>
      <c r="K91" s="5">
        <v>24</v>
      </c>
      <c r="L91" t="str">
        <f t="shared" si="5"/>
        <v>Available</v>
      </c>
      <c r="M91" t="str">
        <f t="shared" si="6"/>
        <v>Sufficient Stock</v>
      </c>
    </row>
    <row r="92" spans="1:13" x14ac:dyDescent="0.25">
      <c r="A92" s="5" t="s">
        <v>97</v>
      </c>
      <c r="B92" s="5" t="s">
        <v>227</v>
      </c>
      <c r="C92" s="5" t="s">
        <v>174</v>
      </c>
      <c r="D92" s="6">
        <v>45474</v>
      </c>
      <c r="E92" s="22">
        <v>68000</v>
      </c>
      <c r="F92" s="12">
        <v>105000</v>
      </c>
      <c r="G92" s="5">
        <v>50</v>
      </c>
      <c r="H92">
        <f>SUMIFS(Sales!G:G,Sales!B:B,tblProducts[[#This Row],[Product_id]])</f>
        <v>28</v>
      </c>
      <c r="I92">
        <f t="shared" si="4"/>
        <v>22</v>
      </c>
      <c r="J92" s="5" t="s">
        <v>130</v>
      </c>
      <c r="K92" s="5">
        <v>24</v>
      </c>
      <c r="L92" t="str">
        <f t="shared" si="5"/>
        <v>Available</v>
      </c>
      <c r="M92" t="str">
        <f t="shared" si="6"/>
        <v>Low Stock</v>
      </c>
    </row>
    <row r="93" spans="1:13" x14ac:dyDescent="0.25">
      <c r="A93" s="5" t="s">
        <v>98</v>
      </c>
      <c r="B93" s="5" t="s">
        <v>228</v>
      </c>
      <c r="C93" s="5" t="s">
        <v>927</v>
      </c>
      <c r="D93" s="6">
        <v>45475</v>
      </c>
      <c r="E93" s="22">
        <v>115000</v>
      </c>
      <c r="F93" s="12">
        <v>165000</v>
      </c>
      <c r="G93" s="5">
        <v>35</v>
      </c>
      <c r="H93">
        <f>SUMIFS(Sales!G:G,Sales!B:B,tblProducts[[#This Row],[Product_id]])</f>
        <v>16</v>
      </c>
      <c r="I93">
        <f t="shared" si="4"/>
        <v>19</v>
      </c>
      <c r="J93" s="5" t="s">
        <v>130</v>
      </c>
      <c r="K93" s="5">
        <v>24</v>
      </c>
      <c r="L93" t="str">
        <f t="shared" si="5"/>
        <v>Available</v>
      </c>
      <c r="M93" t="str">
        <f t="shared" si="6"/>
        <v>Low Stock</v>
      </c>
    </row>
    <row r="94" spans="1:13" x14ac:dyDescent="0.25">
      <c r="A94" s="5" t="s">
        <v>99</v>
      </c>
      <c r="B94" s="5" t="s">
        <v>229</v>
      </c>
      <c r="C94" s="5" t="s">
        <v>925</v>
      </c>
      <c r="D94" s="6">
        <v>45476</v>
      </c>
      <c r="E94" s="22">
        <v>85000</v>
      </c>
      <c r="F94" s="12">
        <v>130000</v>
      </c>
      <c r="G94" s="5">
        <v>160</v>
      </c>
      <c r="H94">
        <f>SUMIFS(Sales!G:G,Sales!B:B,tblProducts[[#This Row],[Product_id]])</f>
        <v>34</v>
      </c>
      <c r="I94">
        <f t="shared" si="4"/>
        <v>126</v>
      </c>
      <c r="J94" s="5" t="s">
        <v>130</v>
      </c>
      <c r="K94" s="5">
        <v>24</v>
      </c>
      <c r="L94" t="str">
        <f t="shared" si="5"/>
        <v>Available</v>
      </c>
      <c r="M94" t="str">
        <f t="shared" si="6"/>
        <v>Sufficient Stock</v>
      </c>
    </row>
    <row r="95" spans="1:13" x14ac:dyDescent="0.25">
      <c r="A95" s="5" t="s">
        <v>100</v>
      </c>
      <c r="B95" s="5" t="s">
        <v>230</v>
      </c>
      <c r="C95" s="5" t="s">
        <v>927</v>
      </c>
      <c r="D95" s="6">
        <v>45477</v>
      </c>
      <c r="E95" s="22">
        <v>42000</v>
      </c>
      <c r="F95" s="12">
        <v>68000</v>
      </c>
      <c r="G95" s="5">
        <v>140</v>
      </c>
      <c r="H95">
        <f>SUMIFS(Sales!G:G,Sales!B:B,tblProducts[[#This Row],[Product_id]])</f>
        <v>42</v>
      </c>
      <c r="I95">
        <f t="shared" si="4"/>
        <v>98</v>
      </c>
      <c r="J95" s="5" t="s">
        <v>130</v>
      </c>
      <c r="K95" s="5">
        <v>24</v>
      </c>
      <c r="L95" t="str">
        <f t="shared" si="5"/>
        <v>Available</v>
      </c>
      <c r="M95" t="str">
        <f t="shared" si="6"/>
        <v>Sufficient Stock</v>
      </c>
    </row>
    <row r="96" spans="1:13" x14ac:dyDescent="0.25">
      <c r="A96" s="5" t="s">
        <v>101</v>
      </c>
      <c r="B96" s="5" t="s">
        <v>231</v>
      </c>
      <c r="C96" s="5" t="s">
        <v>167</v>
      </c>
      <c r="D96" s="6">
        <v>45478</v>
      </c>
      <c r="E96" s="22">
        <v>145000</v>
      </c>
      <c r="F96" s="12">
        <v>210000</v>
      </c>
      <c r="G96" s="5">
        <v>90</v>
      </c>
      <c r="H96">
        <f>SUMIFS(Sales!G:G,Sales!B:B,tblProducts[[#This Row],[Product_id]])</f>
        <v>37</v>
      </c>
      <c r="I96">
        <f t="shared" si="4"/>
        <v>53</v>
      </c>
      <c r="J96" s="5" t="s">
        <v>130</v>
      </c>
      <c r="K96" s="5">
        <v>24</v>
      </c>
      <c r="L96" t="str">
        <f t="shared" si="5"/>
        <v>Available</v>
      </c>
      <c r="M96" t="str">
        <f t="shared" si="6"/>
        <v>Sufficient Stock</v>
      </c>
    </row>
    <row r="97" spans="1:13" x14ac:dyDescent="0.25">
      <c r="A97" s="5" t="s">
        <v>102</v>
      </c>
      <c r="B97" s="5" t="s">
        <v>3</v>
      </c>
      <c r="C97" s="5" t="s">
        <v>926</v>
      </c>
      <c r="D97" s="6">
        <v>45479</v>
      </c>
      <c r="E97" s="22">
        <v>180000</v>
      </c>
      <c r="F97" s="12">
        <v>250000</v>
      </c>
      <c r="G97" s="5">
        <v>100</v>
      </c>
      <c r="H97">
        <f>SUMIFS(Sales!G:G,Sales!B:B,tblProducts[[#This Row],[Product_id]])</f>
        <v>70</v>
      </c>
      <c r="I97">
        <f t="shared" si="4"/>
        <v>30</v>
      </c>
      <c r="J97" s="5" t="s">
        <v>130</v>
      </c>
      <c r="K97" s="5">
        <v>24</v>
      </c>
      <c r="L97" t="str">
        <f t="shared" si="5"/>
        <v>Available</v>
      </c>
      <c r="M97" t="str">
        <f t="shared" si="6"/>
        <v>Low Stock</v>
      </c>
    </row>
    <row r="98" spans="1:13" x14ac:dyDescent="0.25">
      <c r="A98" s="5" t="s">
        <v>103</v>
      </c>
      <c r="B98" s="5" t="s">
        <v>5</v>
      </c>
      <c r="C98" s="5" t="s">
        <v>926</v>
      </c>
      <c r="D98" s="6">
        <v>45480</v>
      </c>
      <c r="E98" s="22">
        <v>220000</v>
      </c>
      <c r="F98" s="12">
        <v>310000</v>
      </c>
      <c r="G98" s="5">
        <v>40</v>
      </c>
      <c r="H98">
        <f>SUMIFS(Sales!G:G,Sales!B:B,tblProducts[[#This Row],[Product_id]])</f>
        <v>14</v>
      </c>
      <c r="I98">
        <f t="shared" ref="I98:I107" si="7">G98-H98</f>
        <v>26</v>
      </c>
      <c r="J98" s="5" t="s">
        <v>130</v>
      </c>
      <c r="K98" s="5">
        <v>24</v>
      </c>
      <c r="L98" t="str">
        <f t="shared" si="5"/>
        <v>Available</v>
      </c>
      <c r="M98" t="str">
        <f t="shared" si="6"/>
        <v>Low Stock</v>
      </c>
    </row>
    <row r="99" spans="1:13" x14ac:dyDescent="0.25">
      <c r="A99" s="5" t="s">
        <v>104</v>
      </c>
      <c r="B99" s="5" t="s">
        <v>7</v>
      </c>
      <c r="C99" s="5" t="s">
        <v>925</v>
      </c>
      <c r="D99" s="6">
        <v>45481</v>
      </c>
      <c r="E99" s="22">
        <v>95000</v>
      </c>
      <c r="F99" s="12">
        <v>145000</v>
      </c>
      <c r="G99" s="5">
        <v>200</v>
      </c>
      <c r="H99">
        <f>SUMIFS(Sales!G:G,Sales!B:B,tblProducts[[#This Row],[Product_id]])</f>
        <v>24</v>
      </c>
      <c r="I99">
        <f t="shared" si="7"/>
        <v>176</v>
      </c>
      <c r="J99" s="5" t="s">
        <v>130</v>
      </c>
      <c r="K99" s="5">
        <v>24</v>
      </c>
      <c r="L99" t="str">
        <f t="shared" si="5"/>
        <v>Available</v>
      </c>
      <c r="M99" t="str">
        <f t="shared" si="6"/>
        <v>Sufficient Stock</v>
      </c>
    </row>
    <row r="100" spans="1:13" x14ac:dyDescent="0.25">
      <c r="A100" s="5" t="s">
        <v>105</v>
      </c>
      <c r="B100" s="5" t="s">
        <v>9</v>
      </c>
      <c r="C100" s="5" t="s">
        <v>927</v>
      </c>
      <c r="D100" s="6">
        <v>45482</v>
      </c>
      <c r="E100" s="22">
        <v>45000</v>
      </c>
      <c r="F100" s="12">
        <v>70000</v>
      </c>
      <c r="G100" s="5">
        <v>150</v>
      </c>
      <c r="H100">
        <f>SUMIFS(Sales!G:G,Sales!B:B,tblProducts[[#This Row],[Product_id]])</f>
        <v>49</v>
      </c>
      <c r="I100">
        <f t="shared" si="7"/>
        <v>101</v>
      </c>
      <c r="J100" s="5" t="s">
        <v>130</v>
      </c>
      <c r="K100" s="5">
        <v>24</v>
      </c>
      <c r="L100" t="str">
        <f t="shared" si="5"/>
        <v>Available</v>
      </c>
      <c r="M100" t="str">
        <f t="shared" si="6"/>
        <v>Sufficient Stock</v>
      </c>
    </row>
    <row r="101" spans="1:13" x14ac:dyDescent="0.25">
      <c r="A101" s="5" t="s">
        <v>106</v>
      </c>
      <c r="B101" s="5" t="s">
        <v>11</v>
      </c>
      <c r="C101" s="5" t="s">
        <v>927</v>
      </c>
      <c r="D101" s="6">
        <v>45483</v>
      </c>
      <c r="E101" s="22">
        <v>120000</v>
      </c>
      <c r="F101" s="12">
        <v>180000</v>
      </c>
      <c r="G101" s="5">
        <v>220</v>
      </c>
      <c r="H101">
        <f>SUMIFS(Sales!G:G,Sales!B:B,tblProducts[[#This Row],[Product_id]])</f>
        <v>48</v>
      </c>
      <c r="I101">
        <f t="shared" si="7"/>
        <v>172</v>
      </c>
      <c r="J101" s="5" t="s">
        <v>130</v>
      </c>
      <c r="K101" s="5">
        <v>24</v>
      </c>
      <c r="L101" t="str">
        <f t="shared" si="5"/>
        <v>Available</v>
      </c>
      <c r="M101" t="str">
        <f t="shared" si="6"/>
        <v>Sufficient Stock</v>
      </c>
    </row>
    <row r="102" spans="1:13" x14ac:dyDescent="0.25">
      <c r="A102" s="5" t="s">
        <v>107</v>
      </c>
      <c r="B102" s="5" t="s">
        <v>124</v>
      </c>
      <c r="C102" s="5" t="s">
        <v>924</v>
      </c>
      <c r="D102" s="6">
        <v>45484</v>
      </c>
      <c r="E102" s="22">
        <v>9000</v>
      </c>
      <c r="F102" s="12">
        <v>15000</v>
      </c>
      <c r="G102" s="5">
        <v>500</v>
      </c>
      <c r="H102">
        <f>SUMIFS(Sales!G:G,Sales!B:B,tblProducts[[#This Row],[Product_id]])</f>
        <v>18</v>
      </c>
      <c r="I102">
        <f t="shared" si="7"/>
        <v>482</v>
      </c>
      <c r="J102" s="5" t="s">
        <v>130</v>
      </c>
      <c r="K102" s="5">
        <v>24</v>
      </c>
      <c r="L102" t="str">
        <f t="shared" si="5"/>
        <v>Available</v>
      </c>
      <c r="M102" t="str">
        <f t="shared" si="6"/>
        <v>Sufficient Stock</v>
      </c>
    </row>
    <row r="103" spans="1:13" x14ac:dyDescent="0.25">
      <c r="A103" s="5" t="s">
        <v>108</v>
      </c>
      <c r="B103" s="5" t="s">
        <v>125</v>
      </c>
      <c r="C103" s="5" t="s">
        <v>163</v>
      </c>
      <c r="D103" s="6">
        <v>45485</v>
      </c>
      <c r="E103" s="22">
        <v>18000</v>
      </c>
      <c r="F103" s="12">
        <v>27000</v>
      </c>
      <c r="G103" s="5">
        <v>250</v>
      </c>
      <c r="H103">
        <f>SUMIFS(Sales!G:G,Sales!B:B,tblProducts[[#This Row],[Product_id]])</f>
        <v>3</v>
      </c>
      <c r="I103">
        <f t="shared" si="7"/>
        <v>247</v>
      </c>
      <c r="J103" s="5" t="s">
        <v>130</v>
      </c>
      <c r="K103" s="5">
        <v>24</v>
      </c>
      <c r="L103" t="str">
        <f t="shared" si="5"/>
        <v>Available</v>
      </c>
      <c r="M103" t="str">
        <f t="shared" si="6"/>
        <v>Sufficient Stock</v>
      </c>
    </row>
    <row r="104" spans="1:13" x14ac:dyDescent="0.25">
      <c r="A104" s="5" t="s">
        <v>109</v>
      </c>
      <c r="B104" s="5" t="s">
        <v>126</v>
      </c>
      <c r="C104" s="5" t="s">
        <v>927</v>
      </c>
      <c r="D104" s="6">
        <v>45486</v>
      </c>
      <c r="E104" s="22">
        <v>12000</v>
      </c>
      <c r="F104" s="12">
        <v>19000</v>
      </c>
      <c r="G104" s="5">
        <v>400</v>
      </c>
      <c r="H104">
        <f>SUMIFS(Sales!G:G,Sales!B:B,tblProducts[[#This Row],[Product_id]])</f>
        <v>34</v>
      </c>
      <c r="I104">
        <f t="shared" si="7"/>
        <v>366</v>
      </c>
      <c r="J104" s="5" t="s">
        <v>130</v>
      </c>
      <c r="K104" s="5">
        <v>24</v>
      </c>
      <c r="L104" t="str">
        <f t="shared" si="5"/>
        <v>Available</v>
      </c>
      <c r="M104" t="str">
        <f t="shared" si="6"/>
        <v>Sufficient Stock</v>
      </c>
    </row>
    <row r="105" spans="1:13" x14ac:dyDescent="0.25">
      <c r="A105" s="5" t="s">
        <v>110</v>
      </c>
      <c r="B105" s="5" t="s">
        <v>127</v>
      </c>
      <c r="C105" s="5" t="s">
        <v>152</v>
      </c>
      <c r="D105" s="6">
        <v>45487</v>
      </c>
      <c r="E105" s="22">
        <v>140000</v>
      </c>
      <c r="F105" s="12">
        <v>195000</v>
      </c>
      <c r="G105" s="5">
        <v>200</v>
      </c>
      <c r="H105">
        <f>SUMIFS(Sales!G:G,Sales!B:B,tblProducts[[#This Row],[Product_id]])</f>
        <v>26</v>
      </c>
      <c r="I105">
        <f t="shared" si="7"/>
        <v>174</v>
      </c>
      <c r="J105" s="5" t="s">
        <v>130</v>
      </c>
      <c r="K105" s="5">
        <v>24</v>
      </c>
      <c r="L105" t="str">
        <f t="shared" si="5"/>
        <v>Available</v>
      </c>
      <c r="M105" t="str">
        <f t="shared" si="6"/>
        <v>Sufficient Stock</v>
      </c>
    </row>
    <row r="106" spans="1:13" x14ac:dyDescent="0.25">
      <c r="A106" s="5" t="s">
        <v>111</v>
      </c>
      <c r="B106" s="5" t="s">
        <v>128</v>
      </c>
      <c r="C106" s="5" t="s">
        <v>927</v>
      </c>
      <c r="D106" s="6">
        <v>45488</v>
      </c>
      <c r="E106" s="22">
        <v>26000</v>
      </c>
      <c r="F106" s="12">
        <v>38000</v>
      </c>
      <c r="G106" s="5">
        <v>220</v>
      </c>
      <c r="H106">
        <f>SUMIFS(Sales!G:G,Sales!B:B,tblProducts[[#This Row],[Product_id]])</f>
        <v>53</v>
      </c>
      <c r="I106">
        <f t="shared" si="7"/>
        <v>167</v>
      </c>
      <c r="J106" s="5" t="s">
        <v>130</v>
      </c>
      <c r="K106" s="5">
        <v>24</v>
      </c>
      <c r="L106" t="str">
        <f t="shared" si="5"/>
        <v>Available</v>
      </c>
      <c r="M106" t="str">
        <f t="shared" si="6"/>
        <v>Sufficient Stock</v>
      </c>
    </row>
    <row r="107" spans="1:13" x14ac:dyDescent="0.25">
      <c r="A107" s="5" t="s">
        <v>112</v>
      </c>
      <c r="B107" s="5" t="s">
        <v>129</v>
      </c>
      <c r="C107" s="5" t="s">
        <v>924</v>
      </c>
      <c r="D107" s="6">
        <v>45489</v>
      </c>
      <c r="E107" s="22">
        <v>44000</v>
      </c>
      <c r="F107" s="12">
        <v>63000</v>
      </c>
      <c r="G107" s="5">
        <v>450</v>
      </c>
      <c r="H107">
        <f>SUMIFS(Sales!G:G,Sales!B:B,tblProducts[[#This Row],[Product_id]])</f>
        <v>8</v>
      </c>
      <c r="I107">
        <f t="shared" si="7"/>
        <v>442</v>
      </c>
      <c r="J107" s="5" t="s">
        <v>130</v>
      </c>
      <c r="K107" s="5">
        <v>24</v>
      </c>
      <c r="L107" t="str">
        <f t="shared" si="5"/>
        <v>Available</v>
      </c>
      <c r="M107" t="str">
        <f t="shared" si="6"/>
        <v>Sufficient Stock</v>
      </c>
    </row>
    <row r="108" spans="1:13" x14ac:dyDescent="0.25">
      <c r="D108" s="6"/>
      <c r="E108" s="6"/>
    </row>
    <row r="109" spans="1:13" x14ac:dyDescent="0.25">
      <c r="D109" s="6"/>
      <c r="E109" s="6"/>
    </row>
    <row r="110" spans="1:13" x14ac:dyDescent="0.25">
      <c r="D110" s="6"/>
      <c r="E110" s="6"/>
    </row>
    <row r="111" spans="1:13" x14ac:dyDescent="0.25">
      <c r="D111" s="6"/>
      <c r="E111" s="6"/>
    </row>
    <row r="112" spans="1:13" x14ac:dyDescent="0.25">
      <c r="D112" s="6"/>
      <c r="E112" s="6"/>
    </row>
    <row r="113" spans="4:5" x14ac:dyDescent="0.25">
      <c r="D113" s="6"/>
      <c r="E113" s="6"/>
    </row>
    <row r="114" spans="4:5" x14ac:dyDescent="0.25">
      <c r="D114" s="6"/>
      <c r="E114" s="6"/>
    </row>
    <row r="115" spans="4:5" x14ac:dyDescent="0.25">
      <c r="D115" s="6"/>
      <c r="E115" s="6"/>
    </row>
    <row r="116" spans="4:5" x14ac:dyDescent="0.25">
      <c r="D116" s="6"/>
      <c r="E116" s="6"/>
    </row>
    <row r="117" spans="4:5" x14ac:dyDescent="0.25">
      <c r="D117" s="6"/>
      <c r="E117" s="6"/>
    </row>
    <row r="118" spans="4:5" x14ac:dyDescent="0.25">
      <c r="D118" s="6"/>
      <c r="E118" s="6"/>
    </row>
    <row r="119" spans="4:5" x14ac:dyDescent="0.25">
      <c r="D119" s="6"/>
      <c r="E119" s="6"/>
    </row>
    <row r="120" spans="4:5" x14ac:dyDescent="0.25">
      <c r="D120" s="6"/>
      <c r="E120" s="6"/>
    </row>
    <row r="121" spans="4:5" x14ac:dyDescent="0.25">
      <c r="D121" s="6"/>
      <c r="E121" s="6"/>
    </row>
    <row r="122" spans="4:5" x14ac:dyDescent="0.25">
      <c r="D122" s="6"/>
      <c r="E122" s="6"/>
    </row>
    <row r="123" spans="4:5" x14ac:dyDescent="0.25">
      <c r="D123" s="6"/>
      <c r="E123" s="6"/>
    </row>
    <row r="124" spans="4:5" x14ac:dyDescent="0.25">
      <c r="D124" s="6"/>
      <c r="E124" s="6"/>
    </row>
    <row r="125" spans="4:5" x14ac:dyDescent="0.25">
      <c r="D125" s="6"/>
      <c r="E125" s="6"/>
    </row>
    <row r="126" spans="4:5" x14ac:dyDescent="0.25">
      <c r="D126" s="6"/>
      <c r="E126" s="6"/>
    </row>
  </sheetData>
  <sheetProtection selectLockedCells="1"/>
  <phoneticPr fontId="1" type="noConversion"/>
  <conditionalFormatting sqref="M1">
    <cfRule type="dataBar" priority="8">
      <dataBar>
        <cfvo type="min"/>
        <cfvo type="max"/>
        <color rgb="FF638EC6"/>
      </dataBar>
      <extLst>
        <ext xmlns:x14="http://schemas.microsoft.com/office/spreadsheetml/2009/9/main" uri="{B025F937-C7B1-47D3-B67F-A62EFF666E3E}">
          <x14:id>{1A5EEA4A-F72F-475A-9465-725CC1685A7A}</x14:id>
        </ext>
      </extLst>
    </cfRule>
  </conditionalFormatting>
  <conditionalFormatting sqref="M2:M107">
    <cfRule type="dataBar" priority="9">
      <dataBar>
        <cfvo type="min"/>
        <cfvo type="max"/>
        <color rgb="FF63C384"/>
      </dataBar>
      <extLst>
        <ext xmlns:x14="http://schemas.microsoft.com/office/spreadsheetml/2009/9/main" uri="{B025F937-C7B1-47D3-B67F-A62EFF666E3E}">
          <x14:id>{DC751425-F405-470B-BE2C-FED47B1D32D4}</x14:id>
        </ext>
      </extLst>
    </cfRule>
  </conditionalFormatting>
  <dataValidations count="1">
    <dataValidation type="list" allowBlank="1" showInputMessage="1" showErrorMessage="1" error="Not Available" prompt="Agricultural Machine_x000a_Processing Equipment_x000a_Storage Equipment_x000a_Industrial Equipment_x000a_Fabrication Tools_x000a_Safety Equipment _x000a_Power Equipment_x000a_Agricultural Structure_x000a_Agricultural Equipment_x000a_" sqref="C1:C1048576" xr:uid="{292544BD-256B-4162-B7D7-755B71311BD9}">
      <formula1>$C:$C</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5EEA4A-F72F-475A-9465-725CC1685A7A}">
            <x14:dataBar minLength="0" maxLength="100" gradient="0">
              <x14:cfvo type="autoMin"/>
              <x14:cfvo type="autoMax"/>
              <x14:negativeFillColor rgb="FFFF0000"/>
              <x14:axisColor rgb="FF000000"/>
            </x14:dataBar>
          </x14:cfRule>
          <xm:sqref>M1</xm:sqref>
        </x14:conditionalFormatting>
        <x14:conditionalFormatting xmlns:xm="http://schemas.microsoft.com/office/excel/2006/main">
          <x14:cfRule type="dataBar" id="{DC751425-F405-470B-BE2C-FED47B1D32D4}">
            <x14:dataBar minLength="0" maxLength="100" gradient="0">
              <x14:cfvo type="autoMin"/>
              <x14:cfvo type="autoMax"/>
              <x14:negativeFillColor rgb="FFFF0000"/>
              <x14:axisColor rgb="FF000000"/>
            </x14:dataBar>
          </x14:cfRule>
          <xm:sqref>M2:M107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1A97-0A72-486B-A11E-8E160A483881}">
  <dimension ref="A1:H251"/>
  <sheetViews>
    <sheetView zoomScale="87" zoomScaleNormal="87" workbookViewId="0">
      <selection activeCell="H9" sqref="H9"/>
    </sheetView>
  </sheetViews>
  <sheetFormatPr defaultRowHeight="15" x14ac:dyDescent="0.25"/>
  <cols>
    <col min="1" max="1" width="16.7109375" style="5" customWidth="1"/>
    <col min="2" max="2" width="26.5703125" style="5" customWidth="1"/>
    <col min="3" max="3" width="12.85546875" style="5" customWidth="1"/>
    <col min="4" max="4" width="11.28515625" style="5" customWidth="1"/>
    <col min="5" max="5" width="25.5703125" style="14" customWidth="1"/>
    <col min="6" max="6" width="23.7109375" style="5" customWidth="1"/>
    <col min="7" max="7" width="19.42578125" customWidth="1"/>
    <col min="8" max="8" width="16.7109375" style="5" customWidth="1"/>
    <col min="9" max="16384" width="9.140625" style="5"/>
  </cols>
  <sheetData>
    <row r="1" spans="1:8" s="2" customFormat="1" ht="17.25" x14ac:dyDescent="0.3">
      <c r="A1" s="2" t="s">
        <v>232</v>
      </c>
      <c r="B1" s="2" t="s">
        <v>636</v>
      </c>
      <c r="C1" s="2" t="s">
        <v>942</v>
      </c>
      <c r="D1" s="2" t="s">
        <v>113</v>
      </c>
      <c r="E1" s="13" t="s">
        <v>637</v>
      </c>
      <c r="F1" s="2" t="s">
        <v>638</v>
      </c>
      <c r="G1" s="8" t="s">
        <v>639</v>
      </c>
    </row>
    <row r="2" spans="1:8" x14ac:dyDescent="0.25">
      <c r="A2" s="5" t="s">
        <v>233</v>
      </c>
      <c r="B2" s="5" t="s">
        <v>234</v>
      </c>
      <c r="C2" s="5" t="s">
        <v>116</v>
      </c>
      <c r="D2" s="5">
        <v>34</v>
      </c>
      <c r="E2" s="14">
        <v>8031234567</v>
      </c>
      <c r="F2" s="5" t="s">
        <v>235</v>
      </c>
      <c r="G2" t="str">
        <f ca="1">CHOOSE(RANDBETWEEN(1,2), "Onsite", "Online")</f>
        <v>Onsite</v>
      </c>
      <c r="H2" s="6"/>
    </row>
    <row r="3" spans="1:8" x14ac:dyDescent="0.25">
      <c r="A3" s="5" t="s">
        <v>236</v>
      </c>
      <c r="B3" s="5" t="s">
        <v>118</v>
      </c>
      <c r="C3" s="5" t="s">
        <v>237</v>
      </c>
      <c r="D3" s="5">
        <v>29</v>
      </c>
      <c r="E3" s="14">
        <v>8022345678</v>
      </c>
      <c r="F3" s="5" t="s">
        <v>238</v>
      </c>
      <c r="G3" t="str">
        <f t="shared" ref="G3:G66" ca="1" si="0">CHOOSE(RANDBETWEEN(1,2), "Onsite", "Online")</f>
        <v>Onsite</v>
      </c>
      <c r="H3" s="6"/>
    </row>
    <row r="4" spans="1:8" x14ac:dyDescent="0.25">
      <c r="A4" s="5" t="s">
        <v>239</v>
      </c>
      <c r="B4" s="5" t="s">
        <v>240</v>
      </c>
      <c r="C4" s="5" t="s">
        <v>119</v>
      </c>
      <c r="D4" s="5">
        <v>41</v>
      </c>
      <c r="E4" s="14">
        <v>8033456789</v>
      </c>
      <c r="F4" s="5" t="s">
        <v>241</v>
      </c>
      <c r="G4" t="str">
        <f t="shared" ca="1" si="0"/>
        <v>Onsite</v>
      </c>
      <c r="H4" s="6"/>
    </row>
    <row r="5" spans="1:8" x14ac:dyDescent="0.25">
      <c r="A5" s="5" t="s">
        <v>242</v>
      </c>
      <c r="B5" s="5" t="s">
        <v>243</v>
      </c>
      <c r="C5" s="5" t="s">
        <v>115</v>
      </c>
      <c r="D5" s="5">
        <v>37</v>
      </c>
      <c r="E5" s="14">
        <v>8044567890</v>
      </c>
      <c r="F5" s="5" t="s">
        <v>235</v>
      </c>
      <c r="G5" t="str">
        <f t="shared" ca="1" si="0"/>
        <v>Onsite</v>
      </c>
      <c r="H5" s="6"/>
    </row>
    <row r="6" spans="1:8" x14ac:dyDescent="0.25">
      <c r="A6" s="5" t="s">
        <v>244</v>
      </c>
      <c r="B6" s="5" t="s">
        <v>245</v>
      </c>
      <c r="C6" s="5" t="s">
        <v>246</v>
      </c>
      <c r="D6" s="5">
        <v>45</v>
      </c>
      <c r="E6" s="14">
        <v>8055678901</v>
      </c>
      <c r="F6" s="5" t="s">
        <v>238</v>
      </c>
      <c r="G6" t="str">
        <f t="shared" ca="1" si="0"/>
        <v>Online</v>
      </c>
      <c r="H6" s="6"/>
    </row>
    <row r="7" spans="1:8" x14ac:dyDescent="0.25">
      <c r="A7" s="5" t="s">
        <v>247</v>
      </c>
      <c r="B7" s="5" t="s">
        <v>248</v>
      </c>
      <c r="C7" s="5" t="s">
        <v>114</v>
      </c>
      <c r="D7" s="5">
        <v>28</v>
      </c>
      <c r="E7" s="14">
        <v>8066789012</v>
      </c>
      <c r="F7" s="5" t="s">
        <v>235</v>
      </c>
      <c r="G7" t="str">
        <f t="shared" ca="1" si="0"/>
        <v>Onsite</v>
      </c>
      <c r="H7" s="6"/>
    </row>
    <row r="8" spans="1:8" x14ac:dyDescent="0.25">
      <c r="A8" s="5" t="s">
        <v>249</v>
      </c>
      <c r="B8" s="5" t="s">
        <v>250</v>
      </c>
      <c r="C8" s="5" t="s">
        <v>117</v>
      </c>
      <c r="D8" s="5">
        <v>32</v>
      </c>
      <c r="E8" s="14">
        <v>8077890123</v>
      </c>
      <c r="F8" s="5" t="s">
        <v>235</v>
      </c>
      <c r="G8" t="str">
        <f t="shared" ca="1" si="0"/>
        <v>Onsite</v>
      </c>
      <c r="H8" s="6"/>
    </row>
    <row r="9" spans="1:8" x14ac:dyDescent="0.25">
      <c r="A9" s="5" t="s">
        <v>251</v>
      </c>
      <c r="B9" s="5" t="s">
        <v>252</v>
      </c>
      <c r="C9" s="5" t="s">
        <v>120</v>
      </c>
      <c r="D9" s="5">
        <v>39</v>
      </c>
      <c r="E9" s="14">
        <v>8088901234</v>
      </c>
      <c r="F9" s="5" t="s">
        <v>241</v>
      </c>
      <c r="G9" t="str">
        <f t="shared" ca="1" si="0"/>
        <v>Online</v>
      </c>
      <c r="H9" s="6"/>
    </row>
    <row r="10" spans="1:8" x14ac:dyDescent="0.25">
      <c r="A10" s="5" t="s">
        <v>253</v>
      </c>
      <c r="B10" s="5" t="s">
        <v>254</v>
      </c>
      <c r="C10" s="5" t="s">
        <v>116</v>
      </c>
      <c r="D10" s="5">
        <v>51</v>
      </c>
      <c r="E10" s="14">
        <v>8099012345</v>
      </c>
      <c r="F10" s="5" t="s">
        <v>238</v>
      </c>
      <c r="G10" t="str">
        <f t="shared" ca="1" si="0"/>
        <v>Onsite</v>
      </c>
      <c r="H10" s="6"/>
    </row>
    <row r="11" spans="1:8" x14ac:dyDescent="0.25">
      <c r="A11" s="5" t="s">
        <v>255</v>
      </c>
      <c r="B11" s="5" t="s">
        <v>256</v>
      </c>
      <c r="C11" s="5" t="s">
        <v>115</v>
      </c>
      <c r="D11" s="5">
        <v>26</v>
      </c>
      <c r="E11" s="14">
        <v>8010123456</v>
      </c>
      <c r="F11" s="5" t="s">
        <v>235</v>
      </c>
      <c r="G11" t="str">
        <f t="shared" ca="1" si="0"/>
        <v>Onsite</v>
      </c>
      <c r="H11" s="6"/>
    </row>
    <row r="12" spans="1:8" x14ac:dyDescent="0.25">
      <c r="A12" s="5" t="s">
        <v>257</v>
      </c>
      <c r="B12" s="5" t="s">
        <v>258</v>
      </c>
      <c r="C12" s="5" t="s">
        <v>117</v>
      </c>
      <c r="D12" s="5">
        <v>30</v>
      </c>
      <c r="E12" s="14">
        <v>8021234567</v>
      </c>
      <c r="F12" s="5" t="s">
        <v>235</v>
      </c>
      <c r="G12" t="str">
        <f t="shared" ca="1" si="0"/>
        <v>Online</v>
      </c>
      <c r="H12" s="6"/>
    </row>
    <row r="13" spans="1:8" x14ac:dyDescent="0.25">
      <c r="A13" s="5" t="s">
        <v>259</v>
      </c>
      <c r="B13" s="5" t="s">
        <v>260</v>
      </c>
      <c r="C13" s="5" t="s">
        <v>237</v>
      </c>
      <c r="D13" s="5">
        <v>44</v>
      </c>
      <c r="E13" s="14">
        <v>8032345678</v>
      </c>
      <c r="F13" s="5" t="s">
        <v>238</v>
      </c>
      <c r="G13" t="str">
        <f t="shared" ca="1" si="0"/>
        <v>Online</v>
      </c>
      <c r="H13" s="6"/>
    </row>
    <row r="14" spans="1:8" x14ac:dyDescent="0.25">
      <c r="A14" s="5" t="s">
        <v>261</v>
      </c>
      <c r="B14" s="5" t="s">
        <v>262</v>
      </c>
      <c r="C14" s="5" t="s">
        <v>119</v>
      </c>
      <c r="D14" s="5">
        <v>36</v>
      </c>
      <c r="E14" s="14">
        <v>8043456789</v>
      </c>
      <c r="F14" s="5" t="s">
        <v>235</v>
      </c>
      <c r="G14" t="str">
        <f t="shared" ca="1" si="0"/>
        <v>Online</v>
      </c>
      <c r="H14" s="6"/>
    </row>
    <row r="15" spans="1:8" x14ac:dyDescent="0.25">
      <c r="A15" s="5" t="s">
        <v>263</v>
      </c>
      <c r="B15" s="5" t="s">
        <v>264</v>
      </c>
      <c r="C15" s="5" t="s">
        <v>114</v>
      </c>
      <c r="D15" s="5">
        <v>42</v>
      </c>
      <c r="E15" s="14">
        <v>8054567890</v>
      </c>
      <c r="F15" s="5" t="s">
        <v>241</v>
      </c>
      <c r="G15" t="str">
        <f t="shared" ca="1" si="0"/>
        <v>Onsite</v>
      </c>
      <c r="H15" s="6"/>
    </row>
    <row r="16" spans="1:8" x14ac:dyDescent="0.25">
      <c r="A16" s="5" t="s">
        <v>265</v>
      </c>
      <c r="B16" s="5" t="s">
        <v>266</v>
      </c>
      <c r="C16" s="5" t="s">
        <v>246</v>
      </c>
      <c r="D16" s="5">
        <v>29</v>
      </c>
      <c r="E16" s="14">
        <v>8065678901</v>
      </c>
      <c r="F16" s="5" t="s">
        <v>235</v>
      </c>
      <c r="G16" t="str">
        <f t="shared" ca="1" si="0"/>
        <v>Onsite</v>
      </c>
      <c r="H16" s="6"/>
    </row>
    <row r="17" spans="1:8" x14ac:dyDescent="0.25">
      <c r="A17" s="5" t="s">
        <v>267</v>
      </c>
      <c r="B17" s="5" t="s">
        <v>268</v>
      </c>
      <c r="C17" s="5" t="s">
        <v>116</v>
      </c>
      <c r="D17" s="5">
        <v>33</v>
      </c>
      <c r="E17" s="14">
        <v>8076789012</v>
      </c>
      <c r="F17" s="5" t="s">
        <v>238</v>
      </c>
      <c r="G17" t="str">
        <f t="shared" ca="1" si="0"/>
        <v>Onsite</v>
      </c>
      <c r="H17" s="6"/>
    </row>
    <row r="18" spans="1:8" x14ac:dyDescent="0.25">
      <c r="A18" s="5" t="s">
        <v>269</v>
      </c>
      <c r="B18" s="5" t="s">
        <v>270</v>
      </c>
      <c r="C18" s="5" t="s">
        <v>117</v>
      </c>
      <c r="D18" s="5">
        <v>47</v>
      </c>
      <c r="E18" s="14">
        <v>8087890123</v>
      </c>
      <c r="F18" s="5" t="s">
        <v>235</v>
      </c>
      <c r="G18" t="str">
        <f t="shared" ca="1" si="0"/>
        <v>Onsite</v>
      </c>
      <c r="H18" s="6"/>
    </row>
    <row r="19" spans="1:8" x14ac:dyDescent="0.25">
      <c r="A19" s="5" t="s">
        <v>271</v>
      </c>
      <c r="B19" s="5" t="s">
        <v>272</v>
      </c>
      <c r="C19" s="5" t="s">
        <v>115</v>
      </c>
      <c r="D19" s="5">
        <v>38</v>
      </c>
      <c r="E19" s="14">
        <v>8098901234</v>
      </c>
      <c r="F19" s="5" t="s">
        <v>235</v>
      </c>
      <c r="G19" t="str">
        <f t="shared" ca="1" si="0"/>
        <v>Online</v>
      </c>
      <c r="H19" s="6"/>
    </row>
    <row r="20" spans="1:8" x14ac:dyDescent="0.25">
      <c r="A20" s="5" t="s">
        <v>273</v>
      </c>
      <c r="B20" s="5" t="s">
        <v>274</v>
      </c>
      <c r="C20" s="5" t="s">
        <v>119</v>
      </c>
      <c r="D20" s="5">
        <v>31</v>
      </c>
      <c r="E20" s="14">
        <v>8019012345</v>
      </c>
      <c r="F20" s="5" t="s">
        <v>241</v>
      </c>
      <c r="G20" t="str">
        <f t="shared" ca="1" si="0"/>
        <v>Online</v>
      </c>
      <c r="H20" s="6"/>
    </row>
    <row r="21" spans="1:8" x14ac:dyDescent="0.25">
      <c r="A21" s="5" t="s">
        <v>275</v>
      </c>
      <c r="B21" s="5" t="s">
        <v>276</v>
      </c>
      <c r="C21" s="5" t="s">
        <v>114</v>
      </c>
      <c r="D21" s="5">
        <v>50</v>
      </c>
      <c r="E21" s="14">
        <v>8020123456</v>
      </c>
      <c r="F21" s="5" t="s">
        <v>238</v>
      </c>
      <c r="G21" t="str">
        <f t="shared" ca="1" si="0"/>
        <v>Onsite</v>
      </c>
      <c r="H21" s="6"/>
    </row>
    <row r="22" spans="1:8" x14ac:dyDescent="0.25">
      <c r="A22" s="5" t="s">
        <v>277</v>
      </c>
      <c r="B22" s="5" t="s">
        <v>278</v>
      </c>
      <c r="C22" s="5" t="s">
        <v>116</v>
      </c>
      <c r="D22" s="5">
        <v>27</v>
      </c>
      <c r="E22" s="14">
        <v>8031234560</v>
      </c>
      <c r="F22" s="5" t="s">
        <v>235</v>
      </c>
      <c r="G22" t="str">
        <f t="shared" ca="1" si="0"/>
        <v>Onsite</v>
      </c>
      <c r="H22" s="6"/>
    </row>
    <row r="23" spans="1:8" x14ac:dyDescent="0.25">
      <c r="A23" s="5" t="s">
        <v>279</v>
      </c>
      <c r="B23" s="5" t="s">
        <v>280</v>
      </c>
      <c r="C23" s="5" t="s">
        <v>237</v>
      </c>
      <c r="D23" s="5">
        <v>35</v>
      </c>
      <c r="E23" s="14">
        <v>8042345671</v>
      </c>
      <c r="F23" s="5" t="s">
        <v>238</v>
      </c>
      <c r="G23" t="str">
        <f t="shared" ca="1" si="0"/>
        <v>Online</v>
      </c>
      <c r="H23" s="6"/>
    </row>
    <row r="24" spans="1:8" x14ac:dyDescent="0.25">
      <c r="A24" s="5" t="s">
        <v>281</v>
      </c>
      <c r="B24" s="5" t="s">
        <v>282</v>
      </c>
      <c r="C24" s="5" t="s">
        <v>120</v>
      </c>
      <c r="D24" s="5">
        <v>41</v>
      </c>
      <c r="E24" s="14">
        <v>8053456782</v>
      </c>
      <c r="F24" s="5" t="s">
        <v>235</v>
      </c>
      <c r="G24" t="str">
        <f t="shared" ca="1" si="0"/>
        <v>Onsite</v>
      </c>
      <c r="H24" s="6"/>
    </row>
    <row r="25" spans="1:8" x14ac:dyDescent="0.25">
      <c r="A25" s="5" t="s">
        <v>283</v>
      </c>
      <c r="B25" s="5" t="s">
        <v>284</v>
      </c>
      <c r="C25" s="5" t="s">
        <v>117</v>
      </c>
      <c r="D25" s="5">
        <v>30</v>
      </c>
      <c r="E25" s="14">
        <v>8064567893</v>
      </c>
      <c r="F25" s="5" t="s">
        <v>235</v>
      </c>
      <c r="G25" t="str">
        <f t="shared" ca="1" si="0"/>
        <v>Online</v>
      </c>
      <c r="H25" s="6"/>
    </row>
    <row r="26" spans="1:8" x14ac:dyDescent="0.25">
      <c r="A26" s="5" t="s">
        <v>285</v>
      </c>
      <c r="B26" s="5" t="s">
        <v>286</v>
      </c>
      <c r="C26" s="5" t="s">
        <v>115</v>
      </c>
      <c r="D26" s="5">
        <v>49</v>
      </c>
      <c r="E26" s="14">
        <v>8075678904</v>
      </c>
      <c r="F26" s="5" t="s">
        <v>238</v>
      </c>
      <c r="G26" t="str">
        <f t="shared" ca="1" si="0"/>
        <v>Online</v>
      </c>
      <c r="H26" s="6"/>
    </row>
    <row r="27" spans="1:8" x14ac:dyDescent="0.25">
      <c r="A27" s="5" t="s">
        <v>287</v>
      </c>
      <c r="B27" s="5" t="s">
        <v>288</v>
      </c>
      <c r="C27" s="5" t="s">
        <v>119</v>
      </c>
      <c r="D27" s="5">
        <v>28</v>
      </c>
      <c r="E27" s="14">
        <v>8086789015</v>
      </c>
      <c r="F27" s="5" t="s">
        <v>235</v>
      </c>
      <c r="G27" t="str">
        <f t="shared" ca="1" si="0"/>
        <v>Online</v>
      </c>
      <c r="H27" s="6"/>
    </row>
    <row r="28" spans="1:8" x14ac:dyDescent="0.25">
      <c r="A28" s="5" t="s">
        <v>289</v>
      </c>
      <c r="B28" s="5" t="s">
        <v>290</v>
      </c>
      <c r="C28" s="5" t="s">
        <v>246</v>
      </c>
      <c r="D28" s="5">
        <v>34</v>
      </c>
      <c r="E28" s="14">
        <v>8097890126</v>
      </c>
      <c r="F28" s="5" t="s">
        <v>241</v>
      </c>
      <c r="G28" t="str">
        <f t="shared" ca="1" si="0"/>
        <v>Onsite</v>
      </c>
      <c r="H28" s="6"/>
    </row>
    <row r="29" spans="1:8" x14ac:dyDescent="0.25">
      <c r="A29" s="5" t="s">
        <v>291</v>
      </c>
      <c r="B29" s="5" t="s">
        <v>292</v>
      </c>
      <c r="C29" s="5" t="s">
        <v>114</v>
      </c>
      <c r="D29" s="5">
        <v>40</v>
      </c>
      <c r="E29" s="14">
        <v>8008901237</v>
      </c>
      <c r="F29" s="5" t="s">
        <v>235</v>
      </c>
      <c r="G29" t="str">
        <f t="shared" ca="1" si="0"/>
        <v>Onsite</v>
      </c>
      <c r="H29" s="6"/>
    </row>
    <row r="30" spans="1:8" x14ac:dyDescent="0.25">
      <c r="A30" s="5" t="s">
        <v>293</v>
      </c>
      <c r="B30" s="5" t="s">
        <v>294</v>
      </c>
      <c r="C30" s="5" t="s">
        <v>116</v>
      </c>
      <c r="D30" s="5">
        <v>46</v>
      </c>
      <c r="E30" s="14">
        <v>8019012348</v>
      </c>
      <c r="F30" s="5" t="s">
        <v>238</v>
      </c>
      <c r="G30" t="str">
        <f t="shared" ca="1" si="0"/>
        <v>Online</v>
      </c>
      <c r="H30" s="6"/>
    </row>
    <row r="31" spans="1:8" x14ac:dyDescent="0.25">
      <c r="A31" s="5" t="s">
        <v>295</v>
      </c>
      <c r="B31" s="5" t="s">
        <v>296</v>
      </c>
      <c r="C31" s="5" t="s">
        <v>120</v>
      </c>
      <c r="D31" s="5">
        <v>29</v>
      </c>
      <c r="E31" s="14">
        <v>8029123459</v>
      </c>
      <c r="F31" s="5" t="s">
        <v>235</v>
      </c>
      <c r="G31" t="str">
        <f t="shared" ca="1" si="0"/>
        <v>Onsite</v>
      </c>
      <c r="H31" s="6"/>
    </row>
    <row r="32" spans="1:8" x14ac:dyDescent="0.25">
      <c r="A32" s="5" t="s">
        <v>297</v>
      </c>
      <c r="B32" s="5" t="s">
        <v>298</v>
      </c>
      <c r="C32" s="5" t="s">
        <v>119</v>
      </c>
      <c r="D32" s="5">
        <v>37</v>
      </c>
      <c r="E32" s="14">
        <v>8031234582</v>
      </c>
      <c r="F32" s="5" t="s">
        <v>241</v>
      </c>
      <c r="G32" t="str">
        <f t="shared" ca="1" si="0"/>
        <v>Onsite</v>
      </c>
      <c r="H32" s="6"/>
    </row>
    <row r="33" spans="1:8" x14ac:dyDescent="0.25">
      <c r="A33" s="5" t="s">
        <v>299</v>
      </c>
      <c r="B33" s="5" t="s">
        <v>300</v>
      </c>
      <c r="C33" s="5" t="s">
        <v>237</v>
      </c>
      <c r="D33" s="5">
        <v>33</v>
      </c>
      <c r="E33" s="14">
        <v>8042345693</v>
      </c>
      <c r="F33" s="5" t="s">
        <v>235</v>
      </c>
      <c r="G33" t="str">
        <f t="shared" ca="1" si="0"/>
        <v>Online</v>
      </c>
      <c r="H33" s="6"/>
    </row>
    <row r="34" spans="1:8" x14ac:dyDescent="0.25">
      <c r="A34" s="5" t="s">
        <v>301</v>
      </c>
      <c r="B34" s="5" t="s">
        <v>302</v>
      </c>
      <c r="C34" s="5" t="s">
        <v>115</v>
      </c>
      <c r="D34" s="5">
        <v>27</v>
      </c>
      <c r="E34" s="14">
        <v>8053456704</v>
      </c>
      <c r="F34" s="5" t="s">
        <v>235</v>
      </c>
      <c r="G34" t="str">
        <f t="shared" ca="1" si="0"/>
        <v>Onsite</v>
      </c>
      <c r="H34" s="6"/>
    </row>
    <row r="35" spans="1:8" x14ac:dyDescent="0.25">
      <c r="A35" s="5" t="s">
        <v>303</v>
      </c>
      <c r="B35" s="5" t="s">
        <v>304</v>
      </c>
      <c r="C35" s="5" t="s">
        <v>116</v>
      </c>
      <c r="D35" s="5">
        <v>52</v>
      </c>
      <c r="E35" s="14">
        <v>8064567815</v>
      </c>
      <c r="F35" s="5" t="s">
        <v>238</v>
      </c>
      <c r="G35" t="str">
        <f t="shared" ca="1" si="0"/>
        <v>Online</v>
      </c>
      <c r="H35" s="6"/>
    </row>
    <row r="36" spans="1:8" x14ac:dyDescent="0.25">
      <c r="A36" s="5" t="s">
        <v>305</v>
      </c>
      <c r="B36" s="5" t="s">
        <v>306</v>
      </c>
      <c r="C36" s="5" t="s">
        <v>117</v>
      </c>
      <c r="D36" s="5">
        <v>31</v>
      </c>
      <c r="E36" s="14">
        <v>8075678926</v>
      </c>
      <c r="F36" s="5" t="s">
        <v>235</v>
      </c>
      <c r="G36" t="str">
        <f t="shared" ca="1" si="0"/>
        <v>Online</v>
      </c>
      <c r="H36" s="6"/>
    </row>
    <row r="37" spans="1:8" x14ac:dyDescent="0.25">
      <c r="A37" s="5" t="s">
        <v>307</v>
      </c>
      <c r="B37" s="5" t="s">
        <v>308</v>
      </c>
      <c r="C37" s="5" t="s">
        <v>114</v>
      </c>
      <c r="D37" s="5">
        <v>45</v>
      </c>
      <c r="E37" s="14">
        <v>8086789037</v>
      </c>
      <c r="F37" s="5" t="s">
        <v>241</v>
      </c>
      <c r="G37" t="str">
        <f t="shared" ca="1" si="0"/>
        <v>Online</v>
      </c>
      <c r="H37" s="6"/>
    </row>
    <row r="38" spans="1:8" x14ac:dyDescent="0.25">
      <c r="A38" s="5" t="s">
        <v>309</v>
      </c>
      <c r="B38" s="5" t="s">
        <v>310</v>
      </c>
      <c r="C38" s="5" t="s">
        <v>119</v>
      </c>
      <c r="D38" s="5">
        <v>39</v>
      </c>
      <c r="E38" s="14">
        <v>8097890148</v>
      </c>
      <c r="F38" s="5" t="s">
        <v>238</v>
      </c>
      <c r="G38" t="str">
        <f t="shared" ca="1" si="0"/>
        <v>Onsite</v>
      </c>
      <c r="H38" s="6"/>
    </row>
    <row r="39" spans="1:8" x14ac:dyDescent="0.25">
      <c r="A39" s="5" t="s">
        <v>311</v>
      </c>
      <c r="B39" s="5" t="s">
        <v>312</v>
      </c>
      <c r="C39" s="5" t="s">
        <v>246</v>
      </c>
      <c r="D39" s="5">
        <v>26</v>
      </c>
      <c r="E39" s="14">
        <v>8008901259</v>
      </c>
      <c r="F39" s="5" t="s">
        <v>235</v>
      </c>
      <c r="G39" t="str">
        <f t="shared" ca="1" si="0"/>
        <v>Onsite</v>
      </c>
      <c r="H39" s="6"/>
    </row>
    <row r="40" spans="1:8" x14ac:dyDescent="0.25">
      <c r="A40" s="5" t="s">
        <v>313</v>
      </c>
      <c r="B40" s="5" t="s">
        <v>314</v>
      </c>
      <c r="C40" s="5" t="s">
        <v>115</v>
      </c>
      <c r="D40" s="5">
        <v>42</v>
      </c>
      <c r="E40" s="14">
        <v>8019012360</v>
      </c>
      <c r="F40" s="5" t="s">
        <v>235</v>
      </c>
      <c r="G40" t="str">
        <f t="shared" ca="1" si="0"/>
        <v>Online</v>
      </c>
      <c r="H40" s="6"/>
    </row>
    <row r="41" spans="1:8" x14ac:dyDescent="0.25">
      <c r="A41" s="5" t="s">
        <v>315</v>
      </c>
      <c r="B41" s="5" t="s">
        <v>316</v>
      </c>
      <c r="C41" s="5" t="s">
        <v>116</v>
      </c>
      <c r="D41" s="5">
        <v>30</v>
      </c>
      <c r="E41" s="14">
        <v>8029123471</v>
      </c>
      <c r="F41" s="5" t="s">
        <v>241</v>
      </c>
      <c r="G41" t="str">
        <f t="shared" ca="1" si="0"/>
        <v>Online</v>
      </c>
      <c r="H41" s="6"/>
    </row>
    <row r="42" spans="1:8" x14ac:dyDescent="0.25">
      <c r="A42" s="5" t="s">
        <v>317</v>
      </c>
      <c r="B42" s="5" t="s">
        <v>318</v>
      </c>
      <c r="C42" s="5" t="s">
        <v>117</v>
      </c>
      <c r="D42" s="5">
        <v>34</v>
      </c>
      <c r="E42" s="14">
        <v>8031234583</v>
      </c>
      <c r="F42" s="5" t="s">
        <v>235</v>
      </c>
      <c r="G42" t="str">
        <f t="shared" ca="1" si="0"/>
        <v>Onsite</v>
      </c>
      <c r="H42" s="6"/>
    </row>
    <row r="43" spans="1:8" x14ac:dyDescent="0.25">
      <c r="A43" s="5" t="s">
        <v>319</v>
      </c>
      <c r="B43" s="5" t="s">
        <v>320</v>
      </c>
      <c r="C43" s="5" t="s">
        <v>237</v>
      </c>
      <c r="D43" s="5">
        <v>48</v>
      </c>
      <c r="E43" s="14">
        <v>8042345694</v>
      </c>
      <c r="F43" s="5" t="s">
        <v>238</v>
      </c>
      <c r="G43" t="str">
        <f t="shared" ca="1" si="0"/>
        <v>Onsite</v>
      </c>
      <c r="H43" s="6"/>
    </row>
    <row r="44" spans="1:8" x14ac:dyDescent="0.25">
      <c r="A44" s="5" t="s">
        <v>321</v>
      </c>
      <c r="B44" s="5" t="s">
        <v>322</v>
      </c>
      <c r="C44" s="5" t="s">
        <v>119</v>
      </c>
      <c r="D44" s="5">
        <v>29</v>
      </c>
      <c r="E44" s="14">
        <v>8053456705</v>
      </c>
      <c r="F44" s="5" t="s">
        <v>235</v>
      </c>
      <c r="G44" t="str">
        <f t="shared" ca="1" si="0"/>
        <v>Onsite</v>
      </c>
      <c r="H44" s="6"/>
    </row>
    <row r="45" spans="1:8" x14ac:dyDescent="0.25">
      <c r="A45" s="5" t="s">
        <v>323</v>
      </c>
      <c r="B45" s="5" t="s">
        <v>324</v>
      </c>
      <c r="C45" s="5" t="s">
        <v>120</v>
      </c>
      <c r="D45" s="5">
        <v>36</v>
      </c>
      <c r="E45" s="14">
        <v>8064567816</v>
      </c>
      <c r="F45" s="5" t="s">
        <v>235</v>
      </c>
      <c r="G45" t="str">
        <f t="shared" ca="1" si="0"/>
        <v>Online</v>
      </c>
      <c r="H45" s="6"/>
    </row>
    <row r="46" spans="1:8" x14ac:dyDescent="0.25">
      <c r="A46" s="5" t="s">
        <v>325</v>
      </c>
      <c r="B46" s="5" t="s">
        <v>326</v>
      </c>
      <c r="C46" s="5" t="s">
        <v>115</v>
      </c>
      <c r="D46" s="5">
        <v>51</v>
      </c>
      <c r="E46" s="14">
        <v>8075678927</v>
      </c>
      <c r="F46" s="5" t="s">
        <v>238</v>
      </c>
      <c r="G46" t="str">
        <f t="shared" ca="1" si="0"/>
        <v>Onsite</v>
      </c>
      <c r="H46" s="6"/>
    </row>
    <row r="47" spans="1:8" x14ac:dyDescent="0.25">
      <c r="A47" s="5" t="s">
        <v>327</v>
      </c>
      <c r="B47" s="5" t="s">
        <v>328</v>
      </c>
      <c r="C47" s="5" t="s">
        <v>246</v>
      </c>
      <c r="D47" s="5">
        <v>32</v>
      </c>
      <c r="E47" s="14">
        <v>8086789038</v>
      </c>
      <c r="F47" s="5" t="s">
        <v>235</v>
      </c>
      <c r="G47" t="str">
        <f t="shared" ca="1" si="0"/>
        <v>Online</v>
      </c>
      <c r="H47" s="6"/>
    </row>
    <row r="48" spans="1:8" x14ac:dyDescent="0.25">
      <c r="A48" s="5" t="s">
        <v>329</v>
      </c>
      <c r="B48" s="5" t="s">
        <v>330</v>
      </c>
      <c r="C48" s="5" t="s">
        <v>237</v>
      </c>
      <c r="D48" s="5">
        <v>44</v>
      </c>
      <c r="E48" s="14">
        <v>8097890149</v>
      </c>
      <c r="F48" s="5" t="s">
        <v>241</v>
      </c>
      <c r="G48" t="str">
        <f t="shared" ca="1" si="0"/>
        <v>Online</v>
      </c>
      <c r="H48" s="6"/>
    </row>
    <row r="49" spans="1:8" x14ac:dyDescent="0.25">
      <c r="A49" s="5" t="s">
        <v>331</v>
      </c>
      <c r="B49" s="5" t="s">
        <v>332</v>
      </c>
      <c r="C49" s="5" t="s">
        <v>119</v>
      </c>
      <c r="D49" s="5">
        <v>28</v>
      </c>
      <c r="E49" s="14">
        <v>8008901260</v>
      </c>
      <c r="F49" s="5" t="s">
        <v>235</v>
      </c>
      <c r="G49" t="str">
        <f t="shared" ca="1" si="0"/>
        <v>Online</v>
      </c>
      <c r="H49" s="6"/>
    </row>
    <row r="50" spans="1:8" x14ac:dyDescent="0.25">
      <c r="A50" s="5" t="s">
        <v>333</v>
      </c>
      <c r="B50" s="5" t="s">
        <v>334</v>
      </c>
      <c r="C50" s="5" t="s">
        <v>116</v>
      </c>
      <c r="D50" s="5">
        <v>37</v>
      </c>
      <c r="E50" s="14">
        <v>8019012371</v>
      </c>
      <c r="F50" s="5" t="s">
        <v>235</v>
      </c>
      <c r="G50" t="str">
        <f t="shared" ca="1" si="0"/>
        <v>Onsite</v>
      </c>
      <c r="H50" s="6"/>
    </row>
    <row r="51" spans="1:8" x14ac:dyDescent="0.25">
      <c r="A51" s="5" t="s">
        <v>335</v>
      </c>
      <c r="B51" s="5" t="s">
        <v>336</v>
      </c>
      <c r="C51" s="5" t="s">
        <v>117</v>
      </c>
      <c r="D51" s="5">
        <v>43</v>
      </c>
      <c r="E51" s="14">
        <v>8029123482</v>
      </c>
      <c r="F51" s="5" t="s">
        <v>238</v>
      </c>
      <c r="G51" t="str">
        <f t="shared" ca="1" si="0"/>
        <v>Onsite</v>
      </c>
      <c r="H51" s="6"/>
    </row>
    <row r="52" spans="1:8" x14ac:dyDescent="0.25">
      <c r="A52" s="5" t="s">
        <v>337</v>
      </c>
      <c r="B52" s="5" t="s">
        <v>338</v>
      </c>
      <c r="C52" s="5" t="s">
        <v>115</v>
      </c>
      <c r="D52" s="5">
        <v>35</v>
      </c>
      <c r="E52" s="14">
        <v>8031234593</v>
      </c>
      <c r="F52" s="5" t="s">
        <v>235</v>
      </c>
      <c r="G52" t="str">
        <f t="shared" ca="1" si="0"/>
        <v>Online</v>
      </c>
      <c r="H52" s="6"/>
    </row>
    <row r="53" spans="1:8" x14ac:dyDescent="0.25">
      <c r="A53" s="5" t="s">
        <v>339</v>
      </c>
      <c r="B53" s="5" t="s">
        <v>340</v>
      </c>
      <c r="C53" s="5" t="s">
        <v>237</v>
      </c>
      <c r="D53" s="5">
        <v>30</v>
      </c>
      <c r="E53" s="14">
        <v>8042345614</v>
      </c>
      <c r="F53" s="5" t="s">
        <v>235</v>
      </c>
      <c r="G53" t="str">
        <f t="shared" ca="1" si="0"/>
        <v>Online</v>
      </c>
      <c r="H53" s="6"/>
    </row>
    <row r="54" spans="1:8" x14ac:dyDescent="0.25">
      <c r="A54" s="5" t="s">
        <v>341</v>
      </c>
      <c r="B54" s="5" t="s">
        <v>342</v>
      </c>
      <c r="C54" s="5" t="s">
        <v>119</v>
      </c>
      <c r="D54" s="5">
        <v>41</v>
      </c>
      <c r="E54" s="14">
        <v>8053456725</v>
      </c>
      <c r="F54" s="5" t="s">
        <v>241</v>
      </c>
      <c r="G54" t="str">
        <f t="shared" ca="1" si="0"/>
        <v>Onsite</v>
      </c>
      <c r="H54" s="6"/>
    </row>
    <row r="55" spans="1:8" x14ac:dyDescent="0.25">
      <c r="A55" s="5" t="s">
        <v>343</v>
      </c>
      <c r="B55" s="5" t="s">
        <v>344</v>
      </c>
      <c r="C55" s="5" t="s">
        <v>114</v>
      </c>
      <c r="D55" s="5">
        <v>27</v>
      </c>
      <c r="E55" s="14">
        <v>8064567836</v>
      </c>
      <c r="F55" s="5" t="s">
        <v>235</v>
      </c>
      <c r="G55" t="str">
        <f t="shared" ca="1" si="0"/>
        <v>Onsite</v>
      </c>
      <c r="H55" s="6"/>
    </row>
    <row r="56" spans="1:8" x14ac:dyDescent="0.25">
      <c r="A56" s="5" t="s">
        <v>345</v>
      </c>
      <c r="B56" s="5" t="s">
        <v>346</v>
      </c>
      <c r="C56" s="5" t="s">
        <v>246</v>
      </c>
      <c r="D56" s="5">
        <v>46</v>
      </c>
      <c r="E56" s="14">
        <v>8075678947</v>
      </c>
      <c r="F56" s="5" t="s">
        <v>238</v>
      </c>
      <c r="G56" t="str">
        <f t="shared" ca="1" si="0"/>
        <v>Online</v>
      </c>
      <c r="H56" s="6"/>
    </row>
    <row r="57" spans="1:8" x14ac:dyDescent="0.25">
      <c r="A57" s="5" t="s">
        <v>347</v>
      </c>
      <c r="B57" s="5" t="s">
        <v>348</v>
      </c>
      <c r="C57" s="5" t="s">
        <v>116</v>
      </c>
      <c r="D57" s="5">
        <v>33</v>
      </c>
      <c r="E57" s="14">
        <v>8086789058</v>
      </c>
      <c r="F57" s="5" t="s">
        <v>235</v>
      </c>
      <c r="G57" t="str">
        <f t="shared" ca="1" si="0"/>
        <v>Online</v>
      </c>
      <c r="H57" s="6"/>
    </row>
    <row r="58" spans="1:8" x14ac:dyDescent="0.25">
      <c r="A58" s="5" t="s">
        <v>349</v>
      </c>
      <c r="B58" s="5" t="s">
        <v>350</v>
      </c>
      <c r="C58" s="5" t="s">
        <v>115</v>
      </c>
      <c r="D58" s="5">
        <v>49</v>
      </c>
      <c r="E58" s="14">
        <v>8097890169</v>
      </c>
      <c r="F58" s="5" t="s">
        <v>238</v>
      </c>
      <c r="G58" t="str">
        <f t="shared" ca="1" si="0"/>
        <v>Online</v>
      </c>
      <c r="H58" s="6"/>
    </row>
    <row r="59" spans="1:8" x14ac:dyDescent="0.25">
      <c r="A59" s="5" t="s">
        <v>351</v>
      </c>
      <c r="B59" s="5" t="s">
        <v>352</v>
      </c>
      <c r="C59" s="5" t="s">
        <v>119</v>
      </c>
      <c r="D59" s="5">
        <v>29</v>
      </c>
      <c r="E59" s="14">
        <v>8008901270</v>
      </c>
      <c r="F59" s="5" t="s">
        <v>235</v>
      </c>
      <c r="G59" t="str">
        <f t="shared" ca="1" si="0"/>
        <v>Onsite</v>
      </c>
      <c r="H59" s="6"/>
    </row>
    <row r="60" spans="1:8" x14ac:dyDescent="0.25">
      <c r="A60" s="5" t="s">
        <v>353</v>
      </c>
      <c r="B60" s="5" t="s">
        <v>354</v>
      </c>
      <c r="C60" s="5" t="s">
        <v>237</v>
      </c>
      <c r="D60" s="5">
        <v>32</v>
      </c>
      <c r="E60" s="14">
        <v>8019012381</v>
      </c>
      <c r="F60" s="5" t="s">
        <v>235</v>
      </c>
      <c r="G60" t="str">
        <f t="shared" ca="1" si="0"/>
        <v>Online</v>
      </c>
      <c r="H60" s="6"/>
    </row>
    <row r="61" spans="1:8" x14ac:dyDescent="0.25">
      <c r="A61" s="5" t="s">
        <v>355</v>
      </c>
      <c r="B61" s="5" t="s">
        <v>356</v>
      </c>
      <c r="C61" s="5" t="s">
        <v>246</v>
      </c>
      <c r="D61" s="5">
        <v>40</v>
      </c>
      <c r="E61" s="14">
        <v>8029123492</v>
      </c>
      <c r="F61" s="5" t="s">
        <v>238</v>
      </c>
      <c r="G61" t="str">
        <f t="shared" ca="1" si="0"/>
        <v>Onsite</v>
      </c>
      <c r="H61" s="6"/>
    </row>
    <row r="62" spans="1:8" x14ac:dyDescent="0.25">
      <c r="A62" s="5" t="s">
        <v>357</v>
      </c>
      <c r="B62" s="5" t="s">
        <v>358</v>
      </c>
      <c r="C62" s="5" t="s">
        <v>117</v>
      </c>
      <c r="D62" s="5">
        <v>28</v>
      </c>
      <c r="E62" s="14">
        <v>8031234504</v>
      </c>
      <c r="F62" s="5" t="s">
        <v>235</v>
      </c>
      <c r="G62" t="str">
        <f t="shared" ca="1" si="0"/>
        <v>Onsite</v>
      </c>
      <c r="H62" s="6"/>
    </row>
    <row r="63" spans="1:8" x14ac:dyDescent="0.25">
      <c r="A63" s="5" t="s">
        <v>359</v>
      </c>
      <c r="B63" s="5" t="s">
        <v>360</v>
      </c>
      <c r="C63" s="5" t="s">
        <v>115</v>
      </c>
      <c r="D63" s="5">
        <v>38</v>
      </c>
      <c r="E63" s="14">
        <v>8042345615</v>
      </c>
      <c r="F63" s="5" t="s">
        <v>235</v>
      </c>
      <c r="G63" t="str">
        <f t="shared" ca="1" si="0"/>
        <v>Onsite</v>
      </c>
      <c r="H63" s="6"/>
    </row>
    <row r="64" spans="1:8" x14ac:dyDescent="0.25">
      <c r="A64" s="5" t="s">
        <v>361</v>
      </c>
      <c r="B64" s="5" t="s">
        <v>362</v>
      </c>
      <c r="C64" s="5" t="s">
        <v>119</v>
      </c>
      <c r="D64" s="5">
        <v>45</v>
      </c>
      <c r="E64" s="14">
        <v>8053456726</v>
      </c>
      <c r="F64" s="5" t="s">
        <v>238</v>
      </c>
      <c r="G64" t="str">
        <f t="shared" ca="1" si="0"/>
        <v>Online</v>
      </c>
      <c r="H64" s="6"/>
    </row>
    <row r="65" spans="1:8" x14ac:dyDescent="0.25">
      <c r="A65" s="5" t="s">
        <v>363</v>
      </c>
      <c r="B65" s="5" t="s">
        <v>364</v>
      </c>
      <c r="C65" s="5" t="s">
        <v>237</v>
      </c>
      <c r="D65" s="5">
        <v>31</v>
      </c>
      <c r="E65" s="14">
        <v>8064567837</v>
      </c>
      <c r="F65" s="5" t="s">
        <v>235</v>
      </c>
      <c r="G65" t="str">
        <f t="shared" ca="1" si="0"/>
        <v>Online</v>
      </c>
      <c r="H65" s="6"/>
    </row>
    <row r="66" spans="1:8" x14ac:dyDescent="0.25">
      <c r="A66" s="5" t="s">
        <v>365</v>
      </c>
      <c r="B66" s="5" t="s">
        <v>366</v>
      </c>
      <c r="C66" s="5" t="s">
        <v>246</v>
      </c>
      <c r="D66" s="5">
        <v>50</v>
      </c>
      <c r="E66" s="14">
        <v>8075678948</v>
      </c>
      <c r="F66" s="5" t="s">
        <v>238</v>
      </c>
      <c r="G66" t="str">
        <f t="shared" ca="1" si="0"/>
        <v>Online</v>
      </c>
      <c r="H66" s="6"/>
    </row>
    <row r="67" spans="1:8" x14ac:dyDescent="0.25">
      <c r="A67" s="5" t="s">
        <v>367</v>
      </c>
      <c r="B67" s="5" t="s">
        <v>368</v>
      </c>
      <c r="C67" s="5" t="s">
        <v>116</v>
      </c>
      <c r="D67" s="5">
        <v>27</v>
      </c>
      <c r="E67" s="14">
        <v>8086789059</v>
      </c>
      <c r="F67" s="5" t="s">
        <v>235</v>
      </c>
      <c r="G67" t="str">
        <f t="shared" ref="G67:G130" ca="1" si="1">CHOOSE(RANDBETWEEN(1,2), "Onsite", "Online")</f>
        <v>Onsite</v>
      </c>
      <c r="H67" s="6"/>
    </row>
    <row r="68" spans="1:8" x14ac:dyDescent="0.25">
      <c r="A68" s="5" t="s">
        <v>369</v>
      </c>
      <c r="B68" s="5" t="s">
        <v>370</v>
      </c>
      <c r="C68" s="5" t="s">
        <v>117</v>
      </c>
      <c r="D68" s="5">
        <v>34</v>
      </c>
      <c r="E68" s="14">
        <v>8097890160</v>
      </c>
      <c r="F68" s="5" t="s">
        <v>235</v>
      </c>
      <c r="G68" t="str">
        <f t="shared" ca="1" si="1"/>
        <v>Onsite</v>
      </c>
      <c r="H68" s="6"/>
    </row>
    <row r="69" spans="1:8" x14ac:dyDescent="0.25">
      <c r="A69" s="5" t="s">
        <v>371</v>
      </c>
      <c r="B69" s="5" t="s">
        <v>372</v>
      </c>
      <c r="C69" s="5" t="s">
        <v>115</v>
      </c>
      <c r="D69" s="5">
        <v>29</v>
      </c>
      <c r="E69" s="14">
        <v>8008901271</v>
      </c>
      <c r="F69" s="5" t="s">
        <v>235</v>
      </c>
      <c r="G69" t="str">
        <f t="shared" ca="1" si="1"/>
        <v>Online</v>
      </c>
      <c r="H69" s="6"/>
    </row>
    <row r="70" spans="1:8" x14ac:dyDescent="0.25">
      <c r="A70" s="5" t="s">
        <v>373</v>
      </c>
      <c r="B70" s="5" t="s">
        <v>374</v>
      </c>
      <c r="C70" s="5" t="s">
        <v>119</v>
      </c>
      <c r="D70" s="5">
        <v>42</v>
      </c>
      <c r="E70" s="14">
        <v>8019012382</v>
      </c>
      <c r="F70" s="5" t="s">
        <v>238</v>
      </c>
      <c r="G70" t="str">
        <f t="shared" ca="1" si="1"/>
        <v>Onsite</v>
      </c>
      <c r="H70" s="6"/>
    </row>
    <row r="71" spans="1:8" x14ac:dyDescent="0.25">
      <c r="A71" s="5" t="s">
        <v>375</v>
      </c>
      <c r="B71" s="5" t="s">
        <v>376</v>
      </c>
      <c r="C71" s="5" t="s">
        <v>116</v>
      </c>
      <c r="D71" s="5">
        <v>36</v>
      </c>
      <c r="E71" s="14">
        <v>8029123493</v>
      </c>
      <c r="F71" s="5" t="s">
        <v>235</v>
      </c>
      <c r="G71" t="str">
        <f t="shared" ca="1" si="1"/>
        <v>Online</v>
      </c>
      <c r="H71" s="6"/>
    </row>
    <row r="72" spans="1:8" x14ac:dyDescent="0.25">
      <c r="A72" s="5" t="s">
        <v>377</v>
      </c>
      <c r="B72" s="5" t="s">
        <v>378</v>
      </c>
      <c r="C72" s="5" t="s">
        <v>117</v>
      </c>
      <c r="D72" s="5">
        <v>31</v>
      </c>
      <c r="E72" s="14">
        <v>8031234505</v>
      </c>
      <c r="F72" s="5" t="s">
        <v>235</v>
      </c>
      <c r="G72" t="str">
        <f t="shared" ca="1" si="1"/>
        <v>Onsite</v>
      </c>
      <c r="H72" s="6"/>
    </row>
    <row r="73" spans="1:8" x14ac:dyDescent="0.25">
      <c r="A73" s="5" t="s">
        <v>379</v>
      </c>
      <c r="B73" s="5" t="s">
        <v>380</v>
      </c>
      <c r="C73" s="5" t="s">
        <v>115</v>
      </c>
      <c r="D73" s="5">
        <v>47</v>
      </c>
      <c r="E73" s="14">
        <v>8042345616</v>
      </c>
      <c r="F73" s="5" t="s">
        <v>238</v>
      </c>
      <c r="G73" t="str">
        <f t="shared" ca="1" si="1"/>
        <v>Online</v>
      </c>
      <c r="H73" s="6"/>
    </row>
    <row r="74" spans="1:8" x14ac:dyDescent="0.25">
      <c r="A74" s="5" t="s">
        <v>381</v>
      </c>
      <c r="B74" s="5" t="s">
        <v>382</v>
      </c>
      <c r="C74" s="5" t="s">
        <v>119</v>
      </c>
      <c r="D74" s="5">
        <v>28</v>
      </c>
      <c r="E74" s="14">
        <v>8053456727</v>
      </c>
      <c r="F74" s="5" t="s">
        <v>235</v>
      </c>
      <c r="G74" t="str">
        <f t="shared" ca="1" si="1"/>
        <v>Onsite</v>
      </c>
      <c r="H74" s="6"/>
    </row>
    <row r="75" spans="1:8" x14ac:dyDescent="0.25">
      <c r="A75" s="5" t="s">
        <v>383</v>
      </c>
      <c r="B75" s="5" t="s">
        <v>384</v>
      </c>
      <c r="C75" s="5" t="s">
        <v>237</v>
      </c>
      <c r="D75" s="5">
        <v>35</v>
      </c>
      <c r="E75" s="14">
        <v>8064567838</v>
      </c>
      <c r="F75" s="5" t="s">
        <v>235</v>
      </c>
      <c r="G75" t="str">
        <f t="shared" ca="1" si="1"/>
        <v>Online</v>
      </c>
      <c r="H75" s="6"/>
    </row>
    <row r="76" spans="1:8" x14ac:dyDescent="0.25">
      <c r="A76" s="5" t="s">
        <v>385</v>
      </c>
      <c r="B76" s="5" t="s">
        <v>386</v>
      </c>
      <c r="C76" s="5" t="s">
        <v>116</v>
      </c>
      <c r="D76" s="5">
        <v>49</v>
      </c>
      <c r="E76" s="14">
        <v>8075678949</v>
      </c>
      <c r="F76" s="5" t="s">
        <v>238</v>
      </c>
      <c r="G76" t="str">
        <f t="shared" ca="1" si="1"/>
        <v>Onsite</v>
      </c>
      <c r="H76" s="6"/>
    </row>
    <row r="77" spans="1:8" x14ac:dyDescent="0.25">
      <c r="A77" s="5" t="s">
        <v>387</v>
      </c>
      <c r="B77" s="5" t="s">
        <v>388</v>
      </c>
      <c r="C77" s="5" t="s">
        <v>117</v>
      </c>
      <c r="D77" s="5">
        <v>30</v>
      </c>
      <c r="E77" s="14">
        <v>8086789060</v>
      </c>
      <c r="F77" s="5" t="s">
        <v>235</v>
      </c>
      <c r="G77" t="str">
        <f t="shared" ca="1" si="1"/>
        <v>Online</v>
      </c>
      <c r="H77" s="6"/>
    </row>
    <row r="78" spans="1:8" x14ac:dyDescent="0.25">
      <c r="A78" s="5" t="s">
        <v>389</v>
      </c>
      <c r="B78" s="5" t="s">
        <v>390</v>
      </c>
      <c r="C78" s="5" t="s">
        <v>115</v>
      </c>
      <c r="D78" s="5">
        <v>41</v>
      </c>
      <c r="E78" s="14">
        <v>8097890161</v>
      </c>
      <c r="F78" s="5" t="s">
        <v>238</v>
      </c>
      <c r="G78" t="str">
        <f t="shared" ca="1" si="1"/>
        <v>Onsite</v>
      </c>
      <c r="H78" s="6"/>
    </row>
    <row r="79" spans="1:8" x14ac:dyDescent="0.25">
      <c r="A79" s="5" t="s">
        <v>391</v>
      </c>
      <c r="B79" s="5" t="s">
        <v>392</v>
      </c>
      <c r="C79" s="5" t="s">
        <v>119</v>
      </c>
      <c r="D79" s="5">
        <v>26</v>
      </c>
      <c r="E79" s="14">
        <v>8008901272</v>
      </c>
      <c r="F79" s="5" t="s">
        <v>235</v>
      </c>
      <c r="G79" t="str">
        <f t="shared" ca="1" si="1"/>
        <v>Onsite</v>
      </c>
      <c r="H79" s="6"/>
    </row>
    <row r="80" spans="1:8" x14ac:dyDescent="0.25">
      <c r="A80" s="5" t="s">
        <v>393</v>
      </c>
      <c r="B80" s="5" t="s">
        <v>394</v>
      </c>
      <c r="C80" s="5" t="s">
        <v>120</v>
      </c>
      <c r="D80" s="5">
        <v>37</v>
      </c>
      <c r="E80" s="14">
        <v>8019012383</v>
      </c>
      <c r="F80" s="5" t="s">
        <v>235</v>
      </c>
      <c r="G80" t="str">
        <f t="shared" ca="1" si="1"/>
        <v>Onsite</v>
      </c>
      <c r="H80" s="6"/>
    </row>
    <row r="81" spans="1:8" x14ac:dyDescent="0.25">
      <c r="A81" s="5" t="s">
        <v>395</v>
      </c>
      <c r="B81" s="5" t="s">
        <v>396</v>
      </c>
      <c r="C81" s="5" t="s">
        <v>116</v>
      </c>
      <c r="D81" s="5">
        <v>44</v>
      </c>
      <c r="E81" s="14">
        <v>8029123494</v>
      </c>
      <c r="F81" s="5" t="s">
        <v>238</v>
      </c>
      <c r="G81" t="str">
        <f t="shared" ca="1" si="1"/>
        <v>Online</v>
      </c>
      <c r="H81" s="6"/>
    </row>
    <row r="82" spans="1:8" x14ac:dyDescent="0.25">
      <c r="A82" s="5" t="s">
        <v>397</v>
      </c>
      <c r="B82" s="5" t="s">
        <v>398</v>
      </c>
      <c r="C82" s="5" t="s">
        <v>117</v>
      </c>
      <c r="D82" s="5">
        <v>33</v>
      </c>
      <c r="E82" s="14">
        <v>8031234506</v>
      </c>
      <c r="F82" s="5" t="s">
        <v>235</v>
      </c>
      <c r="G82" t="str">
        <f t="shared" ca="1" si="1"/>
        <v>Onsite</v>
      </c>
      <c r="H82" s="6"/>
    </row>
    <row r="83" spans="1:8" x14ac:dyDescent="0.25">
      <c r="A83" s="5" t="s">
        <v>399</v>
      </c>
      <c r="B83" s="5" t="s">
        <v>400</v>
      </c>
      <c r="C83" s="5" t="s">
        <v>115</v>
      </c>
      <c r="D83" s="5">
        <v>29</v>
      </c>
      <c r="E83" s="14">
        <v>8042345617</v>
      </c>
      <c r="F83" s="5" t="s">
        <v>235</v>
      </c>
      <c r="G83" t="str">
        <f t="shared" ca="1" si="1"/>
        <v>Onsite</v>
      </c>
      <c r="H83" s="6"/>
    </row>
    <row r="84" spans="1:8" x14ac:dyDescent="0.25">
      <c r="A84" s="5" t="s">
        <v>401</v>
      </c>
      <c r="B84" s="5" t="s">
        <v>402</v>
      </c>
      <c r="C84" s="5" t="s">
        <v>119</v>
      </c>
      <c r="D84" s="5">
        <v>46</v>
      </c>
      <c r="E84" s="14">
        <v>8053456728</v>
      </c>
      <c r="F84" s="5" t="s">
        <v>238</v>
      </c>
      <c r="G84" t="str">
        <f t="shared" ca="1" si="1"/>
        <v>Onsite</v>
      </c>
      <c r="H84" s="6"/>
    </row>
    <row r="85" spans="1:8" x14ac:dyDescent="0.25">
      <c r="A85" s="5" t="s">
        <v>403</v>
      </c>
      <c r="B85" s="5" t="s">
        <v>404</v>
      </c>
      <c r="C85" s="5" t="s">
        <v>237</v>
      </c>
      <c r="D85" s="5">
        <v>32</v>
      </c>
      <c r="E85" s="14">
        <v>8064567839</v>
      </c>
      <c r="F85" s="5" t="s">
        <v>235</v>
      </c>
      <c r="G85" t="str">
        <f t="shared" ca="1" si="1"/>
        <v>Onsite</v>
      </c>
      <c r="H85" s="6"/>
    </row>
    <row r="86" spans="1:8" x14ac:dyDescent="0.25">
      <c r="A86" s="5" t="s">
        <v>405</v>
      </c>
      <c r="B86" s="5" t="s">
        <v>406</v>
      </c>
      <c r="C86" s="5" t="s">
        <v>116</v>
      </c>
      <c r="D86" s="5">
        <v>50</v>
      </c>
      <c r="E86" s="14">
        <v>8075678950</v>
      </c>
      <c r="F86" s="5" t="s">
        <v>238</v>
      </c>
      <c r="G86" t="str">
        <f t="shared" ca="1" si="1"/>
        <v>Online</v>
      </c>
      <c r="H86" s="6"/>
    </row>
    <row r="87" spans="1:8" x14ac:dyDescent="0.25">
      <c r="A87" s="5" t="s">
        <v>407</v>
      </c>
      <c r="B87" s="5" t="s">
        <v>408</v>
      </c>
      <c r="C87" s="5" t="s">
        <v>117</v>
      </c>
      <c r="D87" s="5">
        <v>28</v>
      </c>
      <c r="E87" s="14">
        <v>8086789061</v>
      </c>
      <c r="F87" s="5" t="s">
        <v>235</v>
      </c>
      <c r="G87" t="str">
        <f t="shared" ca="1" si="1"/>
        <v>Online</v>
      </c>
      <c r="H87" s="6"/>
    </row>
    <row r="88" spans="1:8" x14ac:dyDescent="0.25">
      <c r="A88" s="5" t="s">
        <v>409</v>
      </c>
      <c r="B88" s="5" t="s">
        <v>410</v>
      </c>
      <c r="C88" s="5" t="s">
        <v>115</v>
      </c>
      <c r="D88" s="5">
        <v>39</v>
      </c>
      <c r="E88" s="14">
        <v>8097890162</v>
      </c>
      <c r="F88" s="5" t="s">
        <v>235</v>
      </c>
      <c r="G88" t="str">
        <f t="shared" ca="1" si="1"/>
        <v>Onsite</v>
      </c>
      <c r="H88" s="6"/>
    </row>
    <row r="89" spans="1:8" x14ac:dyDescent="0.25">
      <c r="A89" s="5" t="s">
        <v>411</v>
      </c>
      <c r="B89" s="5" t="s">
        <v>412</v>
      </c>
      <c r="C89" s="5" t="s">
        <v>119</v>
      </c>
      <c r="D89" s="5">
        <v>34</v>
      </c>
      <c r="E89" s="14">
        <v>8008901273</v>
      </c>
      <c r="F89" s="5" t="s">
        <v>235</v>
      </c>
      <c r="G89" t="str">
        <f t="shared" ca="1" si="1"/>
        <v>Onsite</v>
      </c>
      <c r="H89" s="6"/>
    </row>
    <row r="90" spans="1:8" x14ac:dyDescent="0.25">
      <c r="A90" s="5" t="s">
        <v>413</v>
      </c>
      <c r="B90" s="5" t="s">
        <v>414</v>
      </c>
      <c r="C90" s="5" t="s">
        <v>237</v>
      </c>
      <c r="D90" s="5">
        <v>45</v>
      </c>
      <c r="E90" s="14">
        <v>8019012384</v>
      </c>
      <c r="F90" s="5" t="s">
        <v>238</v>
      </c>
      <c r="G90" t="str">
        <f t="shared" ca="1" si="1"/>
        <v>Onsite</v>
      </c>
      <c r="H90" s="6"/>
    </row>
    <row r="91" spans="1:8" x14ac:dyDescent="0.25">
      <c r="A91" s="5" t="s">
        <v>415</v>
      </c>
      <c r="B91" s="5" t="s">
        <v>416</v>
      </c>
      <c r="C91" s="5" t="s">
        <v>120</v>
      </c>
      <c r="D91" s="5">
        <v>31</v>
      </c>
      <c r="E91" s="14">
        <v>8029123495</v>
      </c>
      <c r="F91" s="5" t="s">
        <v>235</v>
      </c>
      <c r="G91" t="str">
        <f t="shared" ca="1" si="1"/>
        <v>Onsite</v>
      </c>
      <c r="H91" s="6"/>
    </row>
    <row r="92" spans="1:8" x14ac:dyDescent="0.25">
      <c r="A92" s="5" t="s">
        <v>417</v>
      </c>
      <c r="B92" s="5" t="s">
        <v>418</v>
      </c>
      <c r="C92" s="5" t="s">
        <v>119</v>
      </c>
      <c r="D92" s="5">
        <v>27</v>
      </c>
      <c r="E92" s="14">
        <v>8031234507</v>
      </c>
      <c r="F92" s="5" t="s">
        <v>235</v>
      </c>
      <c r="G92" t="str">
        <f t="shared" ca="1" si="1"/>
        <v>Online</v>
      </c>
      <c r="H92" s="6"/>
    </row>
    <row r="93" spans="1:8" x14ac:dyDescent="0.25">
      <c r="A93" s="5" t="s">
        <v>419</v>
      </c>
      <c r="B93" s="5" t="s">
        <v>420</v>
      </c>
      <c r="C93" s="5" t="s">
        <v>115</v>
      </c>
      <c r="D93" s="5">
        <v>48</v>
      </c>
      <c r="E93" s="14">
        <v>8042345618</v>
      </c>
      <c r="F93" s="5" t="s">
        <v>238</v>
      </c>
      <c r="G93" t="str">
        <f t="shared" ca="1" si="1"/>
        <v>Onsite</v>
      </c>
      <c r="H93" s="6"/>
    </row>
    <row r="94" spans="1:8" x14ac:dyDescent="0.25">
      <c r="A94" s="5" t="s">
        <v>421</v>
      </c>
      <c r="B94" s="5" t="s">
        <v>422</v>
      </c>
      <c r="C94" s="5" t="s">
        <v>116</v>
      </c>
      <c r="D94" s="5">
        <v>36</v>
      </c>
      <c r="E94" s="14">
        <v>8053456729</v>
      </c>
      <c r="F94" s="5" t="s">
        <v>235</v>
      </c>
      <c r="G94" t="str">
        <f t="shared" ca="1" si="1"/>
        <v>Online</v>
      </c>
      <c r="H94" s="6"/>
    </row>
    <row r="95" spans="1:8" x14ac:dyDescent="0.25">
      <c r="A95" s="5" t="s">
        <v>423</v>
      </c>
      <c r="B95" s="5" t="s">
        <v>424</v>
      </c>
      <c r="C95" s="5" t="s">
        <v>237</v>
      </c>
      <c r="D95" s="5">
        <v>30</v>
      </c>
      <c r="E95" s="14">
        <v>8064567840</v>
      </c>
      <c r="F95" s="5" t="s">
        <v>235</v>
      </c>
      <c r="G95" t="str">
        <f t="shared" ca="1" si="1"/>
        <v>Onsite</v>
      </c>
      <c r="H95" s="6"/>
    </row>
    <row r="96" spans="1:8" x14ac:dyDescent="0.25">
      <c r="A96" s="5" t="s">
        <v>425</v>
      </c>
      <c r="B96" s="5" t="s">
        <v>426</v>
      </c>
      <c r="C96" s="5" t="s">
        <v>117</v>
      </c>
      <c r="D96" s="5">
        <v>41</v>
      </c>
      <c r="E96" s="14">
        <v>8075678951</v>
      </c>
      <c r="F96" s="5" t="s">
        <v>238</v>
      </c>
      <c r="G96" t="str">
        <f t="shared" ca="1" si="1"/>
        <v>Online</v>
      </c>
      <c r="H96" s="6"/>
    </row>
    <row r="97" spans="1:8" x14ac:dyDescent="0.25">
      <c r="A97" s="5" t="s">
        <v>427</v>
      </c>
      <c r="B97" s="5" t="s">
        <v>428</v>
      </c>
      <c r="C97" s="5" t="s">
        <v>115</v>
      </c>
      <c r="D97" s="5">
        <v>29</v>
      </c>
      <c r="E97" s="14">
        <v>8086789062</v>
      </c>
      <c r="F97" s="5" t="s">
        <v>235</v>
      </c>
      <c r="G97" t="str">
        <f t="shared" ca="1" si="1"/>
        <v>Online</v>
      </c>
      <c r="H97" s="6"/>
    </row>
    <row r="98" spans="1:8" x14ac:dyDescent="0.25">
      <c r="A98" s="5" t="s">
        <v>429</v>
      </c>
      <c r="B98" s="5" t="s">
        <v>430</v>
      </c>
      <c r="C98" s="5" t="s">
        <v>119</v>
      </c>
      <c r="D98" s="5">
        <v>44</v>
      </c>
      <c r="E98" s="14">
        <v>8097890163</v>
      </c>
      <c r="F98" s="5" t="s">
        <v>238</v>
      </c>
      <c r="G98" t="str">
        <f t="shared" ca="1" si="1"/>
        <v>Online</v>
      </c>
      <c r="H98" s="6"/>
    </row>
    <row r="99" spans="1:8" x14ac:dyDescent="0.25">
      <c r="A99" s="5" t="s">
        <v>431</v>
      </c>
      <c r="B99" s="5" t="s">
        <v>432</v>
      </c>
      <c r="C99" s="5" t="s">
        <v>237</v>
      </c>
      <c r="D99" s="5">
        <v>33</v>
      </c>
      <c r="E99" s="14">
        <v>8008901274</v>
      </c>
      <c r="F99" s="5" t="s">
        <v>235</v>
      </c>
      <c r="G99" t="str">
        <f t="shared" ca="1" si="1"/>
        <v>Onsite</v>
      </c>
      <c r="H99" s="6"/>
    </row>
    <row r="100" spans="1:8" x14ac:dyDescent="0.25">
      <c r="A100" s="5" t="s">
        <v>433</v>
      </c>
      <c r="B100" s="5" t="s">
        <v>434</v>
      </c>
      <c r="C100" s="5" t="s">
        <v>116</v>
      </c>
      <c r="D100" s="5">
        <v>30</v>
      </c>
      <c r="E100" s="14">
        <v>8019012385</v>
      </c>
      <c r="F100" s="5" t="s">
        <v>235</v>
      </c>
      <c r="G100" t="str">
        <f t="shared" ca="1" si="1"/>
        <v>Online</v>
      </c>
      <c r="H100" s="6"/>
    </row>
    <row r="101" spans="1:8" x14ac:dyDescent="0.25">
      <c r="A101" s="5" t="s">
        <v>435</v>
      </c>
      <c r="B101" s="5" t="s">
        <v>436</v>
      </c>
      <c r="C101" s="5" t="s">
        <v>120</v>
      </c>
      <c r="D101" s="5">
        <v>35</v>
      </c>
      <c r="E101" s="14">
        <v>8029123496</v>
      </c>
      <c r="F101" s="5" t="s">
        <v>238</v>
      </c>
      <c r="G101" t="str">
        <f t="shared" ca="1" si="1"/>
        <v>Online</v>
      </c>
      <c r="H101" s="6"/>
    </row>
    <row r="102" spans="1:8" x14ac:dyDescent="0.25">
      <c r="A102" s="5" t="s">
        <v>437</v>
      </c>
      <c r="B102" s="5" t="s">
        <v>234</v>
      </c>
      <c r="C102" s="5" t="s">
        <v>116</v>
      </c>
      <c r="D102" s="5">
        <v>34</v>
      </c>
      <c r="E102" s="14">
        <v>8031234567</v>
      </c>
      <c r="F102" s="5" t="s">
        <v>235</v>
      </c>
      <c r="G102" t="str">
        <f t="shared" ca="1" si="1"/>
        <v>Onsite</v>
      </c>
      <c r="H102" s="6"/>
    </row>
    <row r="103" spans="1:8" x14ac:dyDescent="0.25">
      <c r="A103" s="5" t="s">
        <v>438</v>
      </c>
      <c r="B103" s="5" t="s">
        <v>118</v>
      </c>
      <c r="C103" s="5" t="s">
        <v>237</v>
      </c>
      <c r="D103" s="5">
        <v>29</v>
      </c>
      <c r="E103" s="14">
        <v>8022345678</v>
      </c>
      <c r="F103" s="5" t="s">
        <v>238</v>
      </c>
      <c r="G103" t="str">
        <f t="shared" ca="1" si="1"/>
        <v>Onsite</v>
      </c>
      <c r="H103" s="6"/>
    </row>
    <row r="104" spans="1:8" x14ac:dyDescent="0.25">
      <c r="A104" s="5" t="s">
        <v>439</v>
      </c>
      <c r="B104" s="5" t="s">
        <v>240</v>
      </c>
      <c r="C104" s="5" t="s">
        <v>119</v>
      </c>
      <c r="D104" s="5">
        <v>41</v>
      </c>
      <c r="E104" s="14">
        <v>8033456789</v>
      </c>
      <c r="F104" s="5" t="s">
        <v>241</v>
      </c>
      <c r="G104" t="str">
        <f t="shared" ca="1" si="1"/>
        <v>Online</v>
      </c>
      <c r="H104" s="6"/>
    </row>
    <row r="105" spans="1:8" x14ac:dyDescent="0.25">
      <c r="A105" s="5" t="s">
        <v>440</v>
      </c>
      <c r="B105" s="5" t="s">
        <v>243</v>
      </c>
      <c r="C105" s="5" t="s">
        <v>115</v>
      </c>
      <c r="D105" s="5">
        <v>37</v>
      </c>
      <c r="E105" s="14">
        <v>8044567890</v>
      </c>
      <c r="F105" s="5" t="s">
        <v>235</v>
      </c>
      <c r="G105" t="str">
        <f t="shared" ca="1" si="1"/>
        <v>Online</v>
      </c>
      <c r="H105" s="6"/>
    </row>
    <row r="106" spans="1:8" x14ac:dyDescent="0.25">
      <c r="A106" s="5" t="s">
        <v>441</v>
      </c>
      <c r="B106" s="5" t="s">
        <v>245</v>
      </c>
      <c r="C106" s="5" t="s">
        <v>246</v>
      </c>
      <c r="D106" s="5">
        <v>45</v>
      </c>
      <c r="E106" s="14">
        <v>8055678901</v>
      </c>
      <c r="F106" s="5" t="s">
        <v>238</v>
      </c>
      <c r="G106" t="str">
        <f t="shared" ca="1" si="1"/>
        <v>Online</v>
      </c>
    </row>
    <row r="107" spans="1:8" x14ac:dyDescent="0.25">
      <c r="A107" s="5" t="s">
        <v>442</v>
      </c>
      <c r="B107" s="5" t="s">
        <v>248</v>
      </c>
      <c r="C107" s="5" t="s">
        <v>114</v>
      </c>
      <c r="D107" s="5">
        <v>28</v>
      </c>
      <c r="E107" s="14">
        <v>8066789012</v>
      </c>
      <c r="F107" s="5" t="s">
        <v>235</v>
      </c>
      <c r="G107" t="str">
        <f t="shared" ca="1" si="1"/>
        <v>Online</v>
      </c>
    </row>
    <row r="108" spans="1:8" x14ac:dyDescent="0.25">
      <c r="A108" s="5" t="s">
        <v>443</v>
      </c>
      <c r="B108" s="5" t="s">
        <v>250</v>
      </c>
      <c r="C108" s="5" t="s">
        <v>117</v>
      </c>
      <c r="D108" s="5">
        <v>32</v>
      </c>
      <c r="E108" s="14">
        <v>8077890123</v>
      </c>
      <c r="F108" s="5" t="s">
        <v>235</v>
      </c>
      <c r="G108" t="str">
        <f t="shared" ca="1" si="1"/>
        <v>Online</v>
      </c>
    </row>
    <row r="109" spans="1:8" x14ac:dyDescent="0.25">
      <c r="A109" s="5" t="s">
        <v>444</v>
      </c>
      <c r="B109" s="5" t="s">
        <v>252</v>
      </c>
      <c r="C109" s="5" t="s">
        <v>120</v>
      </c>
      <c r="D109" s="5">
        <v>39</v>
      </c>
      <c r="E109" s="14">
        <v>8088901234</v>
      </c>
      <c r="F109" s="5" t="s">
        <v>241</v>
      </c>
      <c r="G109" t="str">
        <f t="shared" ca="1" si="1"/>
        <v>Online</v>
      </c>
    </row>
    <row r="110" spans="1:8" x14ac:dyDescent="0.25">
      <c r="A110" s="5" t="s">
        <v>445</v>
      </c>
      <c r="B110" s="5" t="s">
        <v>254</v>
      </c>
      <c r="C110" s="5" t="s">
        <v>116</v>
      </c>
      <c r="D110" s="5">
        <v>51</v>
      </c>
      <c r="E110" s="14">
        <v>8099012345</v>
      </c>
      <c r="F110" s="5" t="s">
        <v>238</v>
      </c>
      <c r="G110" t="str">
        <f t="shared" ca="1" si="1"/>
        <v>Onsite</v>
      </c>
    </row>
    <row r="111" spans="1:8" x14ac:dyDescent="0.25">
      <c r="A111" s="5" t="s">
        <v>446</v>
      </c>
      <c r="B111" s="5" t="s">
        <v>256</v>
      </c>
      <c r="C111" s="5" t="s">
        <v>115</v>
      </c>
      <c r="D111" s="5">
        <v>26</v>
      </c>
      <c r="E111" s="14">
        <v>8010123456</v>
      </c>
      <c r="F111" s="5" t="s">
        <v>235</v>
      </c>
      <c r="G111" t="str">
        <f t="shared" ca="1" si="1"/>
        <v>Onsite</v>
      </c>
    </row>
    <row r="112" spans="1:8" x14ac:dyDescent="0.25">
      <c r="A112" s="5" t="s">
        <v>447</v>
      </c>
      <c r="B112" s="5" t="s">
        <v>258</v>
      </c>
      <c r="C112" s="5" t="s">
        <v>117</v>
      </c>
      <c r="D112" s="5">
        <v>30</v>
      </c>
      <c r="E112" s="14">
        <v>8021234567</v>
      </c>
      <c r="F112" s="5" t="s">
        <v>235</v>
      </c>
      <c r="G112" t="str">
        <f t="shared" ca="1" si="1"/>
        <v>Online</v>
      </c>
    </row>
    <row r="113" spans="1:7" x14ac:dyDescent="0.25">
      <c r="A113" s="5" t="s">
        <v>448</v>
      </c>
      <c r="B113" s="5" t="s">
        <v>260</v>
      </c>
      <c r="C113" s="5" t="s">
        <v>237</v>
      </c>
      <c r="D113" s="5">
        <v>44</v>
      </c>
      <c r="E113" s="14">
        <v>8032345678</v>
      </c>
      <c r="F113" s="5" t="s">
        <v>238</v>
      </c>
      <c r="G113" t="str">
        <f t="shared" ca="1" si="1"/>
        <v>Onsite</v>
      </c>
    </row>
    <row r="114" spans="1:7" x14ac:dyDescent="0.25">
      <c r="A114" s="5" t="s">
        <v>449</v>
      </c>
      <c r="B114" s="5" t="s">
        <v>262</v>
      </c>
      <c r="C114" s="5" t="s">
        <v>119</v>
      </c>
      <c r="D114" s="5">
        <v>36</v>
      </c>
      <c r="E114" s="14">
        <v>8043456789</v>
      </c>
      <c r="F114" s="5" t="s">
        <v>235</v>
      </c>
      <c r="G114" t="str">
        <f t="shared" ca="1" si="1"/>
        <v>Online</v>
      </c>
    </row>
    <row r="115" spans="1:7" x14ac:dyDescent="0.25">
      <c r="A115" s="5" t="s">
        <v>450</v>
      </c>
      <c r="B115" s="5" t="s">
        <v>264</v>
      </c>
      <c r="C115" s="5" t="s">
        <v>114</v>
      </c>
      <c r="D115" s="5">
        <v>42</v>
      </c>
      <c r="E115" s="14">
        <v>8054567890</v>
      </c>
      <c r="F115" s="5" t="s">
        <v>241</v>
      </c>
      <c r="G115" t="str">
        <f t="shared" ca="1" si="1"/>
        <v>Onsite</v>
      </c>
    </row>
    <row r="116" spans="1:7" x14ac:dyDescent="0.25">
      <c r="A116" s="5" t="s">
        <v>451</v>
      </c>
      <c r="B116" s="5" t="s">
        <v>266</v>
      </c>
      <c r="C116" s="5" t="s">
        <v>246</v>
      </c>
      <c r="D116" s="5">
        <v>29</v>
      </c>
      <c r="E116" s="14">
        <v>8065678901</v>
      </c>
      <c r="F116" s="5" t="s">
        <v>235</v>
      </c>
      <c r="G116" t="str">
        <f t="shared" ca="1" si="1"/>
        <v>Onsite</v>
      </c>
    </row>
    <row r="117" spans="1:7" x14ac:dyDescent="0.25">
      <c r="A117" s="5" t="s">
        <v>452</v>
      </c>
      <c r="B117" s="5" t="s">
        <v>268</v>
      </c>
      <c r="C117" s="5" t="s">
        <v>116</v>
      </c>
      <c r="D117" s="5">
        <v>33</v>
      </c>
      <c r="E117" s="14">
        <v>8076789012</v>
      </c>
      <c r="F117" s="5" t="s">
        <v>238</v>
      </c>
      <c r="G117" t="str">
        <f t="shared" ca="1" si="1"/>
        <v>Onsite</v>
      </c>
    </row>
    <row r="118" spans="1:7" x14ac:dyDescent="0.25">
      <c r="A118" s="5" t="s">
        <v>453</v>
      </c>
      <c r="B118" s="5" t="s">
        <v>270</v>
      </c>
      <c r="C118" s="5" t="s">
        <v>117</v>
      </c>
      <c r="D118" s="5">
        <v>47</v>
      </c>
      <c r="E118" s="14">
        <v>8087890123</v>
      </c>
      <c r="F118" s="5" t="s">
        <v>235</v>
      </c>
      <c r="G118" t="str">
        <f t="shared" ca="1" si="1"/>
        <v>Onsite</v>
      </c>
    </row>
    <row r="119" spans="1:7" x14ac:dyDescent="0.25">
      <c r="A119" s="5" t="s">
        <v>454</v>
      </c>
      <c r="B119" s="5" t="s">
        <v>272</v>
      </c>
      <c r="C119" s="5" t="s">
        <v>115</v>
      </c>
      <c r="D119" s="5">
        <v>38</v>
      </c>
      <c r="E119" s="14">
        <v>8098901234</v>
      </c>
      <c r="F119" s="5" t="s">
        <v>235</v>
      </c>
      <c r="G119" t="str">
        <f t="shared" ca="1" si="1"/>
        <v>Onsite</v>
      </c>
    </row>
    <row r="120" spans="1:7" x14ac:dyDescent="0.25">
      <c r="A120" s="5" t="s">
        <v>455</v>
      </c>
      <c r="B120" s="5" t="s">
        <v>274</v>
      </c>
      <c r="C120" s="5" t="s">
        <v>119</v>
      </c>
      <c r="D120" s="5">
        <v>31</v>
      </c>
      <c r="E120" s="14">
        <v>8019012345</v>
      </c>
      <c r="F120" s="5" t="s">
        <v>241</v>
      </c>
      <c r="G120" t="str">
        <f t="shared" ca="1" si="1"/>
        <v>Online</v>
      </c>
    </row>
    <row r="121" spans="1:7" x14ac:dyDescent="0.25">
      <c r="A121" s="5" t="s">
        <v>456</v>
      </c>
      <c r="B121" s="5" t="s">
        <v>276</v>
      </c>
      <c r="C121" s="5" t="s">
        <v>114</v>
      </c>
      <c r="D121" s="5">
        <v>50</v>
      </c>
      <c r="E121" s="14">
        <v>8020123456</v>
      </c>
      <c r="F121" s="5" t="s">
        <v>238</v>
      </c>
      <c r="G121" t="str">
        <f t="shared" ca="1" si="1"/>
        <v>Onsite</v>
      </c>
    </row>
    <row r="122" spans="1:7" x14ac:dyDescent="0.25">
      <c r="A122" s="5" t="s">
        <v>457</v>
      </c>
      <c r="B122" s="5" t="s">
        <v>278</v>
      </c>
      <c r="C122" s="5" t="s">
        <v>116</v>
      </c>
      <c r="D122" s="5">
        <v>27</v>
      </c>
      <c r="E122" s="14">
        <v>8031234560</v>
      </c>
      <c r="F122" s="5" t="s">
        <v>235</v>
      </c>
      <c r="G122" t="str">
        <f t="shared" ca="1" si="1"/>
        <v>Onsite</v>
      </c>
    </row>
    <row r="123" spans="1:7" x14ac:dyDescent="0.25">
      <c r="A123" s="5" t="s">
        <v>458</v>
      </c>
      <c r="B123" s="5" t="s">
        <v>280</v>
      </c>
      <c r="C123" s="5" t="s">
        <v>237</v>
      </c>
      <c r="D123" s="5">
        <v>35</v>
      </c>
      <c r="E123" s="14">
        <v>8042345671</v>
      </c>
      <c r="F123" s="5" t="s">
        <v>238</v>
      </c>
      <c r="G123" t="str">
        <f t="shared" ca="1" si="1"/>
        <v>Onsite</v>
      </c>
    </row>
    <row r="124" spans="1:7" x14ac:dyDescent="0.25">
      <c r="A124" s="5" t="s">
        <v>459</v>
      </c>
      <c r="B124" s="5" t="s">
        <v>282</v>
      </c>
      <c r="C124" s="5" t="s">
        <v>120</v>
      </c>
      <c r="D124" s="5">
        <v>41</v>
      </c>
      <c r="E124" s="14">
        <v>8053456782</v>
      </c>
      <c r="F124" s="5" t="s">
        <v>235</v>
      </c>
      <c r="G124" t="str">
        <f t="shared" ca="1" si="1"/>
        <v>Online</v>
      </c>
    </row>
    <row r="125" spans="1:7" x14ac:dyDescent="0.25">
      <c r="A125" s="5" t="s">
        <v>460</v>
      </c>
      <c r="B125" s="5" t="s">
        <v>284</v>
      </c>
      <c r="C125" s="5" t="s">
        <v>117</v>
      </c>
      <c r="D125" s="5">
        <v>30</v>
      </c>
      <c r="E125" s="14">
        <v>8064567893</v>
      </c>
      <c r="F125" s="5" t="s">
        <v>235</v>
      </c>
      <c r="G125" t="str">
        <f t="shared" ca="1" si="1"/>
        <v>Onsite</v>
      </c>
    </row>
    <row r="126" spans="1:7" x14ac:dyDescent="0.25">
      <c r="A126" s="5" t="s">
        <v>461</v>
      </c>
      <c r="B126" s="5" t="s">
        <v>286</v>
      </c>
      <c r="C126" s="5" t="s">
        <v>115</v>
      </c>
      <c r="D126" s="5">
        <v>49</v>
      </c>
      <c r="E126" s="14">
        <v>8075678904</v>
      </c>
      <c r="F126" s="5" t="s">
        <v>238</v>
      </c>
      <c r="G126" t="str">
        <f t="shared" ca="1" si="1"/>
        <v>Online</v>
      </c>
    </row>
    <row r="127" spans="1:7" x14ac:dyDescent="0.25">
      <c r="A127" s="5" t="s">
        <v>462</v>
      </c>
      <c r="B127" s="5" t="s">
        <v>288</v>
      </c>
      <c r="C127" s="5" t="s">
        <v>119</v>
      </c>
      <c r="D127" s="5">
        <v>28</v>
      </c>
      <c r="E127" s="14">
        <v>8086789015</v>
      </c>
      <c r="F127" s="5" t="s">
        <v>235</v>
      </c>
      <c r="G127" t="str">
        <f t="shared" ca="1" si="1"/>
        <v>Online</v>
      </c>
    </row>
    <row r="128" spans="1:7" x14ac:dyDescent="0.25">
      <c r="A128" s="5" t="s">
        <v>463</v>
      </c>
      <c r="B128" s="5" t="s">
        <v>290</v>
      </c>
      <c r="C128" s="5" t="s">
        <v>246</v>
      </c>
      <c r="D128" s="5">
        <v>34</v>
      </c>
      <c r="E128" s="14">
        <v>8097890126</v>
      </c>
      <c r="F128" s="5" t="s">
        <v>241</v>
      </c>
      <c r="G128" t="str">
        <f t="shared" ca="1" si="1"/>
        <v>Onsite</v>
      </c>
    </row>
    <row r="129" spans="1:7" x14ac:dyDescent="0.25">
      <c r="A129" s="5" t="s">
        <v>464</v>
      </c>
      <c r="B129" s="5" t="s">
        <v>292</v>
      </c>
      <c r="C129" s="5" t="s">
        <v>114</v>
      </c>
      <c r="D129" s="5">
        <v>40</v>
      </c>
      <c r="E129" s="14">
        <v>8008901237</v>
      </c>
      <c r="F129" s="5" t="s">
        <v>235</v>
      </c>
      <c r="G129" t="str">
        <f t="shared" ca="1" si="1"/>
        <v>Online</v>
      </c>
    </row>
    <row r="130" spans="1:7" x14ac:dyDescent="0.25">
      <c r="A130" s="5" t="s">
        <v>465</v>
      </c>
      <c r="B130" s="5" t="s">
        <v>294</v>
      </c>
      <c r="C130" s="5" t="s">
        <v>116</v>
      </c>
      <c r="D130" s="5">
        <v>46</v>
      </c>
      <c r="E130" s="14">
        <v>8019012348</v>
      </c>
      <c r="F130" s="5" t="s">
        <v>238</v>
      </c>
      <c r="G130" t="str">
        <f t="shared" ca="1" si="1"/>
        <v>Onsite</v>
      </c>
    </row>
    <row r="131" spans="1:7" x14ac:dyDescent="0.25">
      <c r="A131" s="5" t="s">
        <v>466</v>
      </c>
      <c r="B131" s="5" t="s">
        <v>296</v>
      </c>
      <c r="C131" s="5" t="s">
        <v>120</v>
      </c>
      <c r="D131" s="5">
        <v>29</v>
      </c>
      <c r="E131" s="14">
        <v>8029123459</v>
      </c>
      <c r="F131" s="5" t="s">
        <v>235</v>
      </c>
      <c r="G131" t="str">
        <f t="shared" ref="G131:G194" ca="1" si="2">CHOOSE(RANDBETWEEN(1,2), "Onsite", "Online")</f>
        <v>Onsite</v>
      </c>
    </row>
    <row r="132" spans="1:7" x14ac:dyDescent="0.25">
      <c r="A132" s="5" t="s">
        <v>467</v>
      </c>
      <c r="B132" s="5" t="s">
        <v>298</v>
      </c>
      <c r="C132" s="5" t="s">
        <v>119</v>
      </c>
      <c r="D132" s="5">
        <v>37</v>
      </c>
      <c r="E132" s="14">
        <v>8031234582</v>
      </c>
      <c r="F132" s="5" t="s">
        <v>241</v>
      </c>
      <c r="G132" t="str">
        <f t="shared" ca="1" si="2"/>
        <v>Onsite</v>
      </c>
    </row>
    <row r="133" spans="1:7" x14ac:dyDescent="0.25">
      <c r="A133" s="5" t="s">
        <v>468</v>
      </c>
      <c r="B133" s="5" t="s">
        <v>300</v>
      </c>
      <c r="C133" s="5" t="s">
        <v>237</v>
      </c>
      <c r="D133" s="5">
        <v>33</v>
      </c>
      <c r="E133" s="14">
        <v>8042345693</v>
      </c>
      <c r="F133" s="5" t="s">
        <v>235</v>
      </c>
      <c r="G133" t="str">
        <f t="shared" ca="1" si="2"/>
        <v>Onsite</v>
      </c>
    </row>
    <row r="134" spans="1:7" x14ac:dyDescent="0.25">
      <c r="A134" s="5" t="s">
        <v>469</v>
      </c>
      <c r="B134" s="5" t="s">
        <v>302</v>
      </c>
      <c r="C134" s="5" t="s">
        <v>115</v>
      </c>
      <c r="D134" s="5">
        <v>27</v>
      </c>
      <c r="E134" s="14">
        <v>8053456704</v>
      </c>
      <c r="F134" s="5" t="s">
        <v>235</v>
      </c>
      <c r="G134" t="str">
        <f t="shared" ca="1" si="2"/>
        <v>Onsite</v>
      </c>
    </row>
    <row r="135" spans="1:7" x14ac:dyDescent="0.25">
      <c r="A135" s="5" t="s">
        <v>470</v>
      </c>
      <c r="B135" s="5" t="s">
        <v>304</v>
      </c>
      <c r="C135" s="5" t="s">
        <v>116</v>
      </c>
      <c r="D135" s="5">
        <v>52</v>
      </c>
      <c r="E135" s="14">
        <v>8064567815</v>
      </c>
      <c r="F135" s="5" t="s">
        <v>238</v>
      </c>
      <c r="G135" t="str">
        <f t="shared" ca="1" si="2"/>
        <v>Onsite</v>
      </c>
    </row>
    <row r="136" spans="1:7" x14ac:dyDescent="0.25">
      <c r="A136" s="5" t="s">
        <v>471</v>
      </c>
      <c r="B136" s="5" t="s">
        <v>306</v>
      </c>
      <c r="C136" s="5" t="s">
        <v>117</v>
      </c>
      <c r="D136" s="5">
        <v>31</v>
      </c>
      <c r="E136" s="14">
        <v>8075678926</v>
      </c>
      <c r="F136" s="5" t="s">
        <v>235</v>
      </c>
      <c r="G136" t="str">
        <f t="shared" ca="1" si="2"/>
        <v>Onsite</v>
      </c>
    </row>
    <row r="137" spans="1:7" x14ac:dyDescent="0.25">
      <c r="A137" s="5" t="s">
        <v>472</v>
      </c>
      <c r="B137" s="5" t="s">
        <v>308</v>
      </c>
      <c r="C137" s="5" t="s">
        <v>114</v>
      </c>
      <c r="D137" s="5">
        <v>45</v>
      </c>
      <c r="E137" s="14">
        <v>8086789037</v>
      </c>
      <c r="F137" s="5" t="s">
        <v>241</v>
      </c>
      <c r="G137" t="str">
        <f t="shared" ca="1" si="2"/>
        <v>Online</v>
      </c>
    </row>
    <row r="138" spans="1:7" x14ac:dyDescent="0.25">
      <c r="A138" s="5" t="s">
        <v>473</v>
      </c>
      <c r="B138" s="5" t="s">
        <v>310</v>
      </c>
      <c r="C138" s="5" t="s">
        <v>119</v>
      </c>
      <c r="D138" s="5">
        <v>39</v>
      </c>
      <c r="E138" s="14">
        <v>8097890148</v>
      </c>
      <c r="F138" s="5" t="s">
        <v>238</v>
      </c>
      <c r="G138" t="str">
        <f t="shared" ca="1" si="2"/>
        <v>Onsite</v>
      </c>
    </row>
    <row r="139" spans="1:7" x14ac:dyDescent="0.25">
      <c r="A139" s="5" t="s">
        <v>474</v>
      </c>
      <c r="B139" s="5" t="s">
        <v>312</v>
      </c>
      <c r="C139" s="5" t="s">
        <v>246</v>
      </c>
      <c r="D139" s="5">
        <v>26</v>
      </c>
      <c r="E139" s="14">
        <v>8008901259</v>
      </c>
      <c r="F139" s="5" t="s">
        <v>235</v>
      </c>
      <c r="G139" t="str">
        <f t="shared" ca="1" si="2"/>
        <v>Online</v>
      </c>
    </row>
    <row r="140" spans="1:7" x14ac:dyDescent="0.25">
      <c r="A140" s="5" t="s">
        <v>475</v>
      </c>
      <c r="B140" s="5" t="s">
        <v>314</v>
      </c>
      <c r="C140" s="5" t="s">
        <v>115</v>
      </c>
      <c r="D140" s="5">
        <v>42</v>
      </c>
      <c r="E140" s="14">
        <v>8019012360</v>
      </c>
      <c r="F140" s="5" t="s">
        <v>235</v>
      </c>
      <c r="G140" t="str">
        <f t="shared" ca="1" si="2"/>
        <v>Onsite</v>
      </c>
    </row>
    <row r="141" spans="1:7" x14ac:dyDescent="0.25">
      <c r="A141" s="5" t="s">
        <v>476</v>
      </c>
      <c r="B141" s="5" t="s">
        <v>316</v>
      </c>
      <c r="C141" s="5" t="s">
        <v>116</v>
      </c>
      <c r="D141" s="5">
        <v>30</v>
      </c>
      <c r="E141" s="14">
        <v>8029123471</v>
      </c>
      <c r="F141" s="5" t="s">
        <v>241</v>
      </c>
      <c r="G141" t="str">
        <f t="shared" ca="1" si="2"/>
        <v>Onsite</v>
      </c>
    </row>
    <row r="142" spans="1:7" x14ac:dyDescent="0.25">
      <c r="A142" s="5" t="s">
        <v>477</v>
      </c>
      <c r="B142" s="5" t="s">
        <v>318</v>
      </c>
      <c r="C142" s="5" t="s">
        <v>117</v>
      </c>
      <c r="D142" s="5">
        <v>34</v>
      </c>
      <c r="E142" s="14">
        <v>8031234583</v>
      </c>
      <c r="F142" s="5" t="s">
        <v>235</v>
      </c>
      <c r="G142" t="str">
        <f t="shared" ca="1" si="2"/>
        <v>Onsite</v>
      </c>
    </row>
    <row r="143" spans="1:7" x14ac:dyDescent="0.25">
      <c r="A143" s="5" t="s">
        <v>478</v>
      </c>
      <c r="B143" s="5" t="s">
        <v>320</v>
      </c>
      <c r="C143" s="5" t="s">
        <v>237</v>
      </c>
      <c r="D143" s="5">
        <v>48</v>
      </c>
      <c r="E143" s="14">
        <v>8042345694</v>
      </c>
      <c r="F143" s="5" t="s">
        <v>238</v>
      </c>
      <c r="G143" t="str">
        <f t="shared" ca="1" si="2"/>
        <v>Online</v>
      </c>
    </row>
    <row r="144" spans="1:7" x14ac:dyDescent="0.25">
      <c r="A144" s="5" t="s">
        <v>479</v>
      </c>
      <c r="B144" s="5" t="s">
        <v>322</v>
      </c>
      <c r="C144" s="5" t="s">
        <v>119</v>
      </c>
      <c r="D144" s="5">
        <v>29</v>
      </c>
      <c r="E144" s="14">
        <v>8053456705</v>
      </c>
      <c r="F144" s="5" t="s">
        <v>235</v>
      </c>
      <c r="G144" t="str">
        <f t="shared" ca="1" si="2"/>
        <v>Onsite</v>
      </c>
    </row>
    <row r="145" spans="1:7" x14ac:dyDescent="0.25">
      <c r="A145" s="5" t="s">
        <v>480</v>
      </c>
      <c r="B145" s="5" t="s">
        <v>324</v>
      </c>
      <c r="C145" s="5" t="s">
        <v>120</v>
      </c>
      <c r="D145" s="5">
        <v>36</v>
      </c>
      <c r="E145" s="14">
        <v>8064567816</v>
      </c>
      <c r="F145" s="5" t="s">
        <v>235</v>
      </c>
      <c r="G145" t="str">
        <f t="shared" ca="1" si="2"/>
        <v>Onsite</v>
      </c>
    </row>
    <row r="146" spans="1:7" x14ac:dyDescent="0.25">
      <c r="A146" s="5" t="s">
        <v>481</v>
      </c>
      <c r="B146" s="5" t="s">
        <v>326</v>
      </c>
      <c r="C146" s="5" t="s">
        <v>115</v>
      </c>
      <c r="D146" s="5">
        <v>51</v>
      </c>
      <c r="E146" s="14">
        <v>8075678927</v>
      </c>
      <c r="F146" s="5" t="s">
        <v>238</v>
      </c>
      <c r="G146" t="str">
        <f t="shared" ca="1" si="2"/>
        <v>Online</v>
      </c>
    </row>
    <row r="147" spans="1:7" x14ac:dyDescent="0.25">
      <c r="A147" s="5" t="s">
        <v>482</v>
      </c>
      <c r="B147" s="5" t="s">
        <v>328</v>
      </c>
      <c r="C147" s="5" t="s">
        <v>246</v>
      </c>
      <c r="D147" s="5">
        <v>32</v>
      </c>
      <c r="E147" s="14">
        <v>8086789038</v>
      </c>
      <c r="F147" s="5" t="s">
        <v>235</v>
      </c>
      <c r="G147" t="str">
        <f t="shared" ca="1" si="2"/>
        <v>Online</v>
      </c>
    </row>
    <row r="148" spans="1:7" x14ac:dyDescent="0.25">
      <c r="A148" s="5" t="s">
        <v>483</v>
      </c>
      <c r="B148" s="5" t="s">
        <v>330</v>
      </c>
      <c r="C148" s="5" t="s">
        <v>237</v>
      </c>
      <c r="D148" s="5">
        <v>44</v>
      </c>
      <c r="E148" s="14">
        <v>8097890149</v>
      </c>
      <c r="F148" s="5" t="s">
        <v>241</v>
      </c>
      <c r="G148" t="str">
        <f t="shared" ca="1" si="2"/>
        <v>Onsite</v>
      </c>
    </row>
    <row r="149" spans="1:7" x14ac:dyDescent="0.25">
      <c r="A149" s="5" t="s">
        <v>484</v>
      </c>
      <c r="B149" s="5" t="s">
        <v>332</v>
      </c>
      <c r="C149" s="5" t="s">
        <v>119</v>
      </c>
      <c r="D149" s="5">
        <v>28</v>
      </c>
      <c r="E149" s="14">
        <v>8008901260</v>
      </c>
      <c r="F149" s="5" t="s">
        <v>235</v>
      </c>
      <c r="G149" t="str">
        <f t="shared" ca="1" si="2"/>
        <v>Online</v>
      </c>
    </row>
    <row r="150" spans="1:7" x14ac:dyDescent="0.25">
      <c r="A150" s="5" t="s">
        <v>485</v>
      </c>
      <c r="B150" s="5" t="s">
        <v>334</v>
      </c>
      <c r="C150" s="5" t="s">
        <v>116</v>
      </c>
      <c r="D150" s="5">
        <v>37</v>
      </c>
      <c r="E150" s="14">
        <v>8019012371</v>
      </c>
      <c r="F150" s="5" t="s">
        <v>235</v>
      </c>
      <c r="G150" t="str">
        <f t="shared" ca="1" si="2"/>
        <v>Onsite</v>
      </c>
    </row>
    <row r="151" spans="1:7" x14ac:dyDescent="0.25">
      <c r="A151" s="5" t="s">
        <v>486</v>
      </c>
      <c r="B151" s="5" t="s">
        <v>336</v>
      </c>
      <c r="C151" s="5" t="s">
        <v>117</v>
      </c>
      <c r="D151" s="5">
        <v>43</v>
      </c>
      <c r="E151" s="14">
        <v>8029123482</v>
      </c>
      <c r="F151" s="5" t="s">
        <v>238</v>
      </c>
      <c r="G151" t="str">
        <f t="shared" ca="1" si="2"/>
        <v>Onsite</v>
      </c>
    </row>
    <row r="152" spans="1:7" x14ac:dyDescent="0.25">
      <c r="A152" s="5" t="s">
        <v>487</v>
      </c>
      <c r="B152" s="5" t="s">
        <v>338</v>
      </c>
      <c r="C152" s="5" t="s">
        <v>115</v>
      </c>
      <c r="D152" s="5">
        <v>35</v>
      </c>
      <c r="E152" s="14">
        <v>8031234593</v>
      </c>
      <c r="F152" s="5" t="s">
        <v>235</v>
      </c>
      <c r="G152" t="str">
        <f t="shared" ca="1" si="2"/>
        <v>Online</v>
      </c>
    </row>
    <row r="153" spans="1:7" x14ac:dyDescent="0.25">
      <c r="A153" s="5" t="s">
        <v>488</v>
      </c>
      <c r="B153" s="5" t="s">
        <v>340</v>
      </c>
      <c r="C153" s="5" t="s">
        <v>237</v>
      </c>
      <c r="D153" s="5">
        <v>30</v>
      </c>
      <c r="E153" s="14">
        <v>8042345614</v>
      </c>
      <c r="F153" s="5" t="s">
        <v>235</v>
      </c>
      <c r="G153" t="str">
        <f t="shared" ca="1" si="2"/>
        <v>Online</v>
      </c>
    </row>
    <row r="154" spans="1:7" x14ac:dyDescent="0.25">
      <c r="A154" s="5" t="s">
        <v>489</v>
      </c>
      <c r="B154" s="5" t="s">
        <v>342</v>
      </c>
      <c r="C154" s="5" t="s">
        <v>119</v>
      </c>
      <c r="D154" s="5">
        <v>41</v>
      </c>
      <c r="E154" s="14">
        <v>8053456725</v>
      </c>
      <c r="F154" s="5" t="s">
        <v>241</v>
      </c>
      <c r="G154" t="str">
        <f t="shared" ca="1" si="2"/>
        <v>Onsite</v>
      </c>
    </row>
    <row r="155" spans="1:7" x14ac:dyDescent="0.25">
      <c r="A155" s="5" t="s">
        <v>490</v>
      </c>
      <c r="B155" s="5" t="s">
        <v>344</v>
      </c>
      <c r="C155" s="5" t="s">
        <v>114</v>
      </c>
      <c r="D155" s="5">
        <v>27</v>
      </c>
      <c r="E155" s="14">
        <v>8064567836</v>
      </c>
      <c r="F155" s="5" t="s">
        <v>235</v>
      </c>
      <c r="G155" t="str">
        <f t="shared" ca="1" si="2"/>
        <v>Online</v>
      </c>
    </row>
    <row r="156" spans="1:7" x14ac:dyDescent="0.25">
      <c r="A156" s="5" t="s">
        <v>491</v>
      </c>
      <c r="B156" s="5" t="s">
        <v>346</v>
      </c>
      <c r="C156" s="5" t="s">
        <v>246</v>
      </c>
      <c r="D156" s="5">
        <v>46</v>
      </c>
      <c r="E156" s="14">
        <v>8075678947</v>
      </c>
      <c r="F156" s="5" t="s">
        <v>238</v>
      </c>
      <c r="G156" t="str">
        <f t="shared" ca="1" si="2"/>
        <v>Online</v>
      </c>
    </row>
    <row r="157" spans="1:7" x14ac:dyDescent="0.25">
      <c r="A157" s="5" t="s">
        <v>492</v>
      </c>
      <c r="B157" s="5" t="s">
        <v>348</v>
      </c>
      <c r="C157" s="5" t="s">
        <v>116</v>
      </c>
      <c r="D157" s="5">
        <v>33</v>
      </c>
      <c r="E157" s="14">
        <v>8086789058</v>
      </c>
      <c r="F157" s="5" t="s">
        <v>235</v>
      </c>
      <c r="G157" t="str">
        <f t="shared" ca="1" si="2"/>
        <v>Onsite</v>
      </c>
    </row>
    <row r="158" spans="1:7" x14ac:dyDescent="0.25">
      <c r="A158" s="5" t="s">
        <v>493</v>
      </c>
      <c r="B158" s="5" t="s">
        <v>350</v>
      </c>
      <c r="C158" s="5" t="s">
        <v>115</v>
      </c>
      <c r="D158" s="5">
        <v>49</v>
      </c>
      <c r="E158" s="14">
        <v>8097890169</v>
      </c>
      <c r="F158" s="5" t="s">
        <v>238</v>
      </c>
      <c r="G158" t="str">
        <f t="shared" ca="1" si="2"/>
        <v>Onsite</v>
      </c>
    </row>
    <row r="159" spans="1:7" x14ac:dyDescent="0.25">
      <c r="A159" s="5" t="s">
        <v>494</v>
      </c>
      <c r="B159" s="5" t="s">
        <v>352</v>
      </c>
      <c r="C159" s="5" t="s">
        <v>119</v>
      </c>
      <c r="D159" s="5">
        <v>29</v>
      </c>
      <c r="E159" s="14">
        <v>8008901270</v>
      </c>
      <c r="F159" s="5" t="s">
        <v>235</v>
      </c>
      <c r="G159" t="str">
        <f t="shared" ca="1" si="2"/>
        <v>Online</v>
      </c>
    </row>
    <row r="160" spans="1:7" x14ac:dyDescent="0.25">
      <c r="A160" s="5" t="s">
        <v>495</v>
      </c>
      <c r="B160" s="5" t="s">
        <v>354</v>
      </c>
      <c r="C160" s="5" t="s">
        <v>237</v>
      </c>
      <c r="D160" s="5">
        <v>32</v>
      </c>
      <c r="E160" s="14">
        <v>8019012381</v>
      </c>
      <c r="F160" s="5" t="s">
        <v>235</v>
      </c>
      <c r="G160" t="str">
        <f t="shared" ca="1" si="2"/>
        <v>Onsite</v>
      </c>
    </row>
    <row r="161" spans="1:7" x14ac:dyDescent="0.25">
      <c r="A161" s="5" t="s">
        <v>496</v>
      </c>
      <c r="B161" s="5" t="s">
        <v>356</v>
      </c>
      <c r="C161" s="5" t="s">
        <v>246</v>
      </c>
      <c r="D161" s="5">
        <v>40</v>
      </c>
      <c r="E161" s="14">
        <v>8029123492</v>
      </c>
      <c r="F161" s="5" t="s">
        <v>238</v>
      </c>
      <c r="G161" t="str">
        <f t="shared" ca="1" si="2"/>
        <v>Online</v>
      </c>
    </row>
    <row r="162" spans="1:7" x14ac:dyDescent="0.25">
      <c r="A162" s="5" t="s">
        <v>497</v>
      </c>
      <c r="B162" s="5" t="s">
        <v>358</v>
      </c>
      <c r="C162" s="5" t="s">
        <v>117</v>
      </c>
      <c r="D162" s="5">
        <v>28</v>
      </c>
      <c r="E162" s="14">
        <v>8031234504</v>
      </c>
      <c r="F162" s="5" t="s">
        <v>235</v>
      </c>
      <c r="G162" t="str">
        <f t="shared" ca="1" si="2"/>
        <v>Online</v>
      </c>
    </row>
    <row r="163" spans="1:7" x14ac:dyDescent="0.25">
      <c r="A163" s="5" t="s">
        <v>498</v>
      </c>
      <c r="B163" s="5" t="s">
        <v>360</v>
      </c>
      <c r="C163" s="5" t="s">
        <v>115</v>
      </c>
      <c r="D163" s="5">
        <v>38</v>
      </c>
      <c r="E163" s="14">
        <v>8042345615</v>
      </c>
      <c r="F163" s="5" t="s">
        <v>235</v>
      </c>
      <c r="G163" t="str">
        <f t="shared" ca="1" si="2"/>
        <v>Online</v>
      </c>
    </row>
    <row r="164" spans="1:7" x14ac:dyDescent="0.25">
      <c r="A164" s="5" t="s">
        <v>499</v>
      </c>
      <c r="B164" s="5" t="s">
        <v>362</v>
      </c>
      <c r="C164" s="5" t="s">
        <v>119</v>
      </c>
      <c r="D164" s="5">
        <v>45</v>
      </c>
      <c r="E164" s="14">
        <v>8053456726</v>
      </c>
      <c r="F164" s="5" t="s">
        <v>238</v>
      </c>
      <c r="G164" t="str">
        <f t="shared" ca="1" si="2"/>
        <v>Online</v>
      </c>
    </row>
    <row r="165" spans="1:7" x14ac:dyDescent="0.25">
      <c r="A165" s="5" t="s">
        <v>500</v>
      </c>
      <c r="B165" s="5" t="s">
        <v>364</v>
      </c>
      <c r="C165" s="5" t="s">
        <v>237</v>
      </c>
      <c r="D165" s="5">
        <v>31</v>
      </c>
      <c r="E165" s="14">
        <v>8064567837</v>
      </c>
      <c r="F165" s="5" t="s">
        <v>235</v>
      </c>
      <c r="G165" t="str">
        <f t="shared" ca="1" si="2"/>
        <v>Online</v>
      </c>
    </row>
    <row r="166" spans="1:7" x14ac:dyDescent="0.25">
      <c r="A166" s="5" t="s">
        <v>501</v>
      </c>
      <c r="B166" s="5" t="s">
        <v>366</v>
      </c>
      <c r="C166" s="5" t="s">
        <v>246</v>
      </c>
      <c r="D166" s="5">
        <v>50</v>
      </c>
      <c r="E166" s="14">
        <v>8075678948</v>
      </c>
      <c r="F166" s="5" t="s">
        <v>238</v>
      </c>
      <c r="G166" t="str">
        <f t="shared" ca="1" si="2"/>
        <v>Onsite</v>
      </c>
    </row>
    <row r="167" spans="1:7" x14ac:dyDescent="0.25">
      <c r="A167" s="5" t="s">
        <v>502</v>
      </c>
      <c r="B167" s="5" t="s">
        <v>368</v>
      </c>
      <c r="C167" s="5" t="s">
        <v>116</v>
      </c>
      <c r="D167" s="5">
        <v>27</v>
      </c>
      <c r="E167" s="14">
        <v>8086789059</v>
      </c>
      <c r="F167" s="5" t="s">
        <v>235</v>
      </c>
      <c r="G167" t="str">
        <f t="shared" ca="1" si="2"/>
        <v>Online</v>
      </c>
    </row>
    <row r="168" spans="1:7" x14ac:dyDescent="0.25">
      <c r="A168" s="5" t="s">
        <v>503</v>
      </c>
      <c r="B168" s="5" t="s">
        <v>370</v>
      </c>
      <c r="C168" s="5" t="s">
        <v>117</v>
      </c>
      <c r="D168" s="5">
        <v>34</v>
      </c>
      <c r="E168" s="14">
        <v>8097890160</v>
      </c>
      <c r="F168" s="5" t="s">
        <v>235</v>
      </c>
      <c r="G168" t="str">
        <f t="shared" ca="1" si="2"/>
        <v>Onsite</v>
      </c>
    </row>
    <row r="169" spans="1:7" x14ac:dyDescent="0.25">
      <c r="A169" s="5" t="s">
        <v>504</v>
      </c>
      <c r="B169" s="5" t="s">
        <v>372</v>
      </c>
      <c r="C169" s="5" t="s">
        <v>115</v>
      </c>
      <c r="D169" s="5">
        <v>29</v>
      </c>
      <c r="E169" s="14">
        <v>8008901271</v>
      </c>
      <c r="F169" s="5" t="s">
        <v>235</v>
      </c>
      <c r="G169" t="str">
        <f t="shared" ca="1" si="2"/>
        <v>Online</v>
      </c>
    </row>
    <row r="170" spans="1:7" x14ac:dyDescent="0.25">
      <c r="A170" s="5" t="s">
        <v>505</v>
      </c>
      <c r="B170" s="5" t="s">
        <v>374</v>
      </c>
      <c r="C170" s="5" t="s">
        <v>119</v>
      </c>
      <c r="D170" s="5">
        <v>42</v>
      </c>
      <c r="E170" s="14">
        <v>8019012382</v>
      </c>
      <c r="F170" s="5" t="s">
        <v>238</v>
      </c>
      <c r="G170" t="str">
        <f t="shared" ca="1" si="2"/>
        <v>Onsite</v>
      </c>
    </row>
    <row r="171" spans="1:7" x14ac:dyDescent="0.25">
      <c r="A171" s="5" t="s">
        <v>506</v>
      </c>
      <c r="B171" s="5" t="s">
        <v>376</v>
      </c>
      <c r="C171" s="5" t="s">
        <v>116</v>
      </c>
      <c r="D171" s="5">
        <v>36</v>
      </c>
      <c r="E171" s="14">
        <v>8029123493</v>
      </c>
      <c r="F171" s="5" t="s">
        <v>235</v>
      </c>
      <c r="G171" t="str">
        <f t="shared" ca="1" si="2"/>
        <v>Onsite</v>
      </c>
    </row>
    <row r="172" spans="1:7" x14ac:dyDescent="0.25">
      <c r="A172" s="5" t="s">
        <v>507</v>
      </c>
      <c r="B172" s="5" t="s">
        <v>378</v>
      </c>
      <c r="C172" s="5" t="s">
        <v>117</v>
      </c>
      <c r="D172" s="5">
        <v>31</v>
      </c>
      <c r="E172" s="14">
        <v>8031234505</v>
      </c>
      <c r="F172" s="5" t="s">
        <v>235</v>
      </c>
      <c r="G172" t="str">
        <f t="shared" ca="1" si="2"/>
        <v>Onsite</v>
      </c>
    </row>
    <row r="173" spans="1:7" x14ac:dyDescent="0.25">
      <c r="A173" s="5" t="s">
        <v>508</v>
      </c>
      <c r="B173" s="5" t="s">
        <v>380</v>
      </c>
      <c r="C173" s="5" t="s">
        <v>115</v>
      </c>
      <c r="D173" s="5">
        <v>47</v>
      </c>
      <c r="E173" s="14">
        <v>8042345616</v>
      </c>
      <c r="F173" s="5" t="s">
        <v>238</v>
      </c>
      <c r="G173" t="str">
        <f t="shared" ca="1" si="2"/>
        <v>Online</v>
      </c>
    </row>
    <row r="174" spans="1:7" x14ac:dyDescent="0.25">
      <c r="A174" s="5" t="s">
        <v>509</v>
      </c>
      <c r="B174" s="5" t="s">
        <v>382</v>
      </c>
      <c r="C174" s="5" t="s">
        <v>119</v>
      </c>
      <c r="D174" s="5">
        <v>28</v>
      </c>
      <c r="E174" s="14">
        <v>8053456727</v>
      </c>
      <c r="F174" s="5" t="s">
        <v>235</v>
      </c>
      <c r="G174" t="str">
        <f t="shared" ca="1" si="2"/>
        <v>Online</v>
      </c>
    </row>
    <row r="175" spans="1:7" x14ac:dyDescent="0.25">
      <c r="A175" s="5" t="s">
        <v>510</v>
      </c>
      <c r="B175" s="5" t="s">
        <v>384</v>
      </c>
      <c r="C175" s="5" t="s">
        <v>237</v>
      </c>
      <c r="D175" s="5">
        <v>35</v>
      </c>
      <c r="E175" s="14">
        <v>8064567838</v>
      </c>
      <c r="F175" s="5" t="s">
        <v>235</v>
      </c>
      <c r="G175" t="str">
        <f t="shared" ca="1" si="2"/>
        <v>Onsite</v>
      </c>
    </row>
    <row r="176" spans="1:7" x14ac:dyDescent="0.25">
      <c r="A176" s="5" t="s">
        <v>511</v>
      </c>
      <c r="B176" s="5" t="s">
        <v>386</v>
      </c>
      <c r="C176" s="5" t="s">
        <v>116</v>
      </c>
      <c r="D176" s="5">
        <v>49</v>
      </c>
      <c r="E176" s="14">
        <v>8075678949</v>
      </c>
      <c r="F176" s="5" t="s">
        <v>238</v>
      </c>
      <c r="G176" t="str">
        <f t="shared" ca="1" si="2"/>
        <v>Online</v>
      </c>
    </row>
    <row r="177" spans="1:7" x14ac:dyDescent="0.25">
      <c r="A177" s="5" t="s">
        <v>512</v>
      </c>
      <c r="B177" s="5" t="s">
        <v>388</v>
      </c>
      <c r="C177" s="5" t="s">
        <v>117</v>
      </c>
      <c r="D177" s="5">
        <v>30</v>
      </c>
      <c r="E177" s="14">
        <v>8086789060</v>
      </c>
      <c r="F177" s="5" t="s">
        <v>235</v>
      </c>
      <c r="G177" t="str">
        <f t="shared" ca="1" si="2"/>
        <v>Onsite</v>
      </c>
    </row>
    <row r="178" spans="1:7" x14ac:dyDescent="0.25">
      <c r="A178" s="5" t="s">
        <v>513</v>
      </c>
      <c r="B178" s="5" t="s">
        <v>390</v>
      </c>
      <c r="C178" s="5" t="s">
        <v>115</v>
      </c>
      <c r="D178" s="5">
        <v>41</v>
      </c>
      <c r="E178" s="14">
        <v>8097890161</v>
      </c>
      <c r="F178" s="5" t="s">
        <v>238</v>
      </c>
      <c r="G178" t="str">
        <f t="shared" ca="1" si="2"/>
        <v>Onsite</v>
      </c>
    </row>
    <row r="179" spans="1:7" x14ac:dyDescent="0.25">
      <c r="A179" s="5" t="s">
        <v>514</v>
      </c>
      <c r="B179" s="5" t="s">
        <v>392</v>
      </c>
      <c r="C179" s="5" t="s">
        <v>119</v>
      </c>
      <c r="D179" s="5">
        <v>26</v>
      </c>
      <c r="E179" s="14">
        <v>8008901272</v>
      </c>
      <c r="F179" s="5" t="s">
        <v>235</v>
      </c>
      <c r="G179" t="str">
        <f t="shared" ca="1" si="2"/>
        <v>Onsite</v>
      </c>
    </row>
    <row r="180" spans="1:7" x14ac:dyDescent="0.25">
      <c r="A180" s="5" t="s">
        <v>515</v>
      </c>
      <c r="B180" s="5" t="s">
        <v>394</v>
      </c>
      <c r="C180" s="5" t="s">
        <v>120</v>
      </c>
      <c r="D180" s="5">
        <v>37</v>
      </c>
      <c r="E180" s="14">
        <v>8019012383</v>
      </c>
      <c r="F180" s="5" t="s">
        <v>235</v>
      </c>
      <c r="G180" t="str">
        <f t="shared" ca="1" si="2"/>
        <v>Onsite</v>
      </c>
    </row>
    <row r="181" spans="1:7" x14ac:dyDescent="0.25">
      <c r="A181" s="5" t="s">
        <v>516</v>
      </c>
      <c r="B181" s="5" t="s">
        <v>396</v>
      </c>
      <c r="C181" s="5" t="s">
        <v>116</v>
      </c>
      <c r="D181" s="5">
        <v>44</v>
      </c>
      <c r="E181" s="14">
        <v>8029123494</v>
      </c>
      <c r="F181" s="5" t="s">
        <v>238</v>
      </c>
      <c r="G181" t="str">
        <f t="shared" ca="1" si="2"/>
        <v>Onsite</v>
      </c>
    </row>
    <row r="182" spans="1:7" x14ac:dyDescent="0.25">
      <c r="A182" s="5" t="s">
        <v>517</v>
      </c>
      <c r="B182" s="5" t="s">
        <v>398</v>
      </c>
      <c r="C182" s="5" t="s">
        <v>117</v>
      </c>
      <c r="D182" s="5">
        <v>33</v>
      </c>
      <c r="E182" s="14">
        <v>8031234506</v>
      </c>
      <c r="F182" s="5" t="s">
        <v>235</v>
      </c>
      <c r="G182" t="str">
        <f t="shared" ca="1" si="2"/>
        <v>Online</v>
      </c>
    </row>
    <row r="183" spans="1:7" x14ac:dyDescent="0.25">
      <c r="A183" s="5" t="s">
        <v>518</v>
      </c>
      <c r="B183" s="5" t="s">
        <v>400</v>
      </c>
      <c r="C183" s="5" t="s">
        <v>115</v>
      </c>
      <c r="D183" s="5">
        <v>29</v>
      </c>
      <c r="E183" s="14">
        <v>8042345617</v>
      </c>
      <c r="F183" s="5" t="s">
        <v>235</v>
      </c>
      <c r="G183" t="str">
        <f t="shared" ca="1" si="2"/>
        <v>Online</v>
      </c>
    </row>
    <row r="184" spans="1:7" x14ac:dyDescent="0.25">
      <c r="A184" s="5" t="s">
        <v>519</v>
      </c>
      <c r="B184" s="5" t="s">
        <v>402</v>
      </c>
      <c r="C184" s="5" t="s">
        <v>119</v>
      </c>
      <c r="D184" s="5">
        <v>46</v>
      </c>
      <c r="E184" s="14">
        <v>8053456728</v>
      </c>
      <c r="F184" s="5" t="s">
        <v>238</v>
      </c>
      <c r="G184" t="str">
        <f t="shared" ca="1" si="2"/>
        <v>Onsite</v>
      </c>
    </row>
    <row r="185" spans="1:7" x14ac:dyDescent="0.25">
      <c r="A185" s="5" t="s">
        <v>520</v>
      </c>
      <c r="B185" s="5" t="s">
        <v>404</v>
      </c>
      <c r="C185" s="5" t="s">
        <v>237</v>
      </c>
      <c r="D185" s="5">
        <v>32</v>
      </c>
      <c r="E185" s="14">
        <v>8064567839</v>
      </c>
      <c r="F185" s="5" t="s">
        <v>235</v>
      </c>
      <c r="G185" t="str">
        <f t="shared" ca="1" si="2"/>
        <v>Online</v>
      </c>
    </row>
    <row r="186" spans="1:7" x14ac:dyDescent="0.25">
      <c r="A186" s="5" t="s">
        <v>521</v>
      </c>
      <c r="B186" s="5" t="s">
        <v>406</v>
      </c>
      <c r="C186" s="5" t="s">
        <v>116</v>
      </c>
      <c r="D186" s="5">
        <v>50</v>
      </c>
      <c r="E186" s="14">
        <v>8075678950</v>
      </c>
      <c r="F186" s="5" t="s">
        <v>238</v>
      </c>
      <c r="G186" t="str">
        <f t="shared" ca="1" si="2"/>
        <v>Onsite</v>
      </c>
    </row>
    <row r="187" spans="1:7" x14ac:dyDescent="0.25">
      <c r="A187" s="5" t="s">
        <v>522</v>
      </c>
      <c r="B187" s="5" t="s">
        <v>408</v>
      </c>
      <c r="C187" s="5" t="s">
        <v>117</v>
      </c>
      <c r="D187" s="5">
        <v>28</v>
      </c>
      <c r="E187" s="14">
        <v>8086789061</v>
      </c>
      <c r="F187" s="5" t="s">
        <v>235</v>
      </c>
      <c r="G187" t="str">
        <f t="shared" ca="1" si="2"/>
        <v>Onsite</v>
      </c>
    </row>
    <row r="188" spans="1:7" x14ac:dyDescent="0.25">
      <c r="A188" s="5" t="s">
        <v>523</v>
      </c>
      <c r="B188" s="5" t="s">
        <v>410</v>
      </c>
      <c r="C188" s="5" t="s">
        <v>115</v>
      </c>
      <c r="D188" s="5">
        <v>39</v>
      </c>
      <c r="E188" s="14">
        <v>8097890162</v>
      </c>
      <c r="F188" s="5" t="s">
        <v>235</v>
      </c>
      <c r="G188" t="str">
        <f t="shared" ca="1" si="2"/>
        <v>Online</v>
      </c>
    </row>
    <row r="189" spans="1:7" x14ac:dyDescent="0.25">
      <c r="A189" s="5" t="s">
        <v>524</v>
      </c>
      <c r="B189" s="5" t="s">
        <v>412</v>
      </c>
      <c r="C189" s="5" t="s">
        <v>119</v>
      </c>
      <c r="D189" s="5">
        <v>34</v>
      </c>
      <c r="E189" s="14">
        <v>8008901273</v>
      </c>
      <c r="F189" s="5" t="s">
        <v>235</v>
      </c>
      <c r="G189" t="str">
        <f t="shared" ca="1" si="2"/>
        <v>Onsite</v>
      </c>
    </row>
    <row r="190" spans="1:7" x14ac:dyDescent="0.25">
      <c r="A190" s="5" t="s">
        <v>525</v>
      </c>
      <c r="B190" s="5" t="s">
        <v>414</v>
      </c>
      <c r="C190" s="5" t="s">
        <v>237</v>
      </c>
      <c r="D190" s="5">
        <v>45</v>
      </c>
      <c r="E190" s="14">
        <v>8019012384</v>
      </c>
      <c r="F190" s="5" t="s">
        <v>238</v>
      </c>
      <c r="G190" t="str">
        <f t="shared" ca="1" si="2"/>
        <v>Online</v>
      </c>
    </row>
    <row r="191" spans="1:7" x14ac:dyDescent="0.25">
      <c r="A191" s="5" t="s">
        <v>526</v>
      </c>
      <c r="B191" s="5" t="s">
        <v>416</v>
      </c>
      <c r="C191" s="5" t="s">
        <v>120</v>
      </c>
      <c r="D191" s="5">
        <v>31</v>
      </c>
      <c r="E191" s="14">
        <v>8029123495</v>
      </c>
      <c r="F191" s="5" t="s">
        <v>235</v>
      </c>
      <c r="G191" t="str">
        <f t="shared" ca="1" si="2"/>
        <v>Online</v>
      </c>
    </row>
    <row r="192" spans="1:7" x14ac:dyDescent="0.25">
      <c r="A192" s="5" t="s">
        <v>576</v>
      </c>
      <c r="B192" s="5" t="s">
        <v>418</v>
      </c>
      <c r="C192" s="5" t="s">
        <v>119</v>
      </c>
      <c r="D192" s="5">
        <v>27</v>
      </c>
      <c r="E192" s="14">
        <v>8031234507</v>
      </c>
      <c r="F192" s="5" t="s">
        <v>235</v>
      </c>
      <c r="G192" t="str">
        <f t="shared" ca="1" si="2"/>
        <v>Online</v>
      </c>
    </row>
    <row r="193" spans="1:7" x14ac:dyDescent="0.25">
      <c r="A193" s="5" t="s">
        <v>577</v>
      </c>
      <c r="B193" s="5" t="s">
        <v>420</v>
      </c>
      <c r="C193" s="5" t="s">
        <v>115</v>
      </c>
      <c r="D193" s="5">
        <v>48</v>
      </c>
      <c r="E193" s="14">
        <v>8042345618</v>
      </c>
      <c r="F193" s="5" t="s">
        <v>238</v>
      </c>
      <c r="G193" t="str">
        <f t="shared" ca="1" si="2"/>
        <v>Online</v>
      </c>
    </row>
    <row r="194" spans="1:7" x14ac:dyDescent="0.25">
      <c r="A194" s="5" t="s">
        <v>578</v>
      </c>
      <c r="B194" s="5" t="s">
        <v>422</v>
      </c>
      <c r="C194" s="5" t="s">
        <v>116</v>
      </c>
      <c r="D194" s="5">
        <v>36</v>
      </c>
      <c r="E194" s="14">
        <v>8053456729</v>
      </c>
      <c r="F194" s="5" t="s">
        <v>235</v>
      </c>
      <c r="G194" t="str">
        <f t="shared" ca="1" si="2"/>
        <v>Online</v>
      </c>
    </row>
    <row r="195" spans="1:7" x14ac:dyDescent="0.25">
      <c r="A195" s="5" t="s">
        <v>579</v>
      </c>
      <c r="B195" s="5" t="s">
        <v>424</v>
      </c>
      <c r="C195" s="5" t="s">
        <v>237</v>
      </c>
      <c r="D195" s="5">
        <v>30</v>
      </c>
      <c r="E195" s="14">
        <v>8064567840</v>
      </c>
      <c r="F195" s="5" t="s">
        <v>235</v>
      </c>
      <c r="G195" t="str">
        <f t="shared" ref="G195:G251" ca="1" si="3">CHOOSE(RANDBETWEEN(1,2), "Onsite", "Online")</f>
        <v>Onsite</v>
      </c>
    </row>
    <row r="196" spans="1:7" x14ac:dyDescent="0.25">
      <c r="A196" s="5" t="s">
        <v>580</v>
      </c>
      <c r="B196" s="5" t="s">
        <v>426</v>
      </c>
      <c r="C196" s="5" t="s">
        <v>117</v>
      </c>
      <c r="D196" s="5">
        <v>41</v>
      </c>
      <c r="E196" s="14">
        <v>8075678951</v>
      </c>
      <c r="F196" s="5" t="s">
        <v>238</v>
      </c>
      <c r="G196" t="str">
        <f t="shared" ca="1" si="3"/>
        <v>Onsite</v>
      </c>
    </row>
    <row r="197" spans="1:7" x14ac:dyDescent="0.25">
      <c r="A197" s="5" t="s">
        <v>581</v>
      </c>
      <c r="B197" s="5" t="s">
        <v>428</v>
      </c>
      <c r="C197" s="5" t="s">
        <v>115</v>
      </c>
      <c r="D197" s="5">
        <v>29</v>
      </c>
      <c r="E197" s="14">
        <v>8086789062</v>
      </c>
      <c r="F197" s="5" t="s">
        <v>235</v>
      </c>
      <c r="G197" t="str">
        <f t="shared" ca="1" si="3"/>
        <v>Onsite</v>
      </c>
    </row>
    <row r="198" spans="1:7" x14ac:dyDescent="0.25">
      <c r="A198" s="5" t="s">
        <v>582</v>
      </c>
      <c r="B198" s="5" t="s">
        <v>430</v>
      </c>
      <c r="C198" s="5" t="s">
        <v>119</v>
      </c>
      <c r="D198" s="5">
        <v>44</v>
      </c>
      <c r="E198" s="14">
        <v>8097890163</v>
      </c>
      <c r="F198" s="5" t="s">
        <v>238</v>
      </c>
      <c r="G198" t="str">
        <f t="shared" ca="1" si="3"/>
        <v>Onsite</v>
      </c>
    </row>
    <row r="199" spans="1:7" x14ac:dyDescent="0.25">
      <c r="A199" s="5" t="s">
        <v>583</v>
      </c>
      <c r="B199" s="5" t="s">
        <v>432</v>
      </c>
      <c r="C199" s="5" t="s">
        <v>237</v>
      </c>
      <c r="D199" s="5">
        <v>33</v>
      </c>
      <c r="E199" s="14">
        <v>8008901274</v>
      </c>
      <c r="F199" s="5" t="s">
        <v>235</v>
      </c>
      <c r="G199" t="str">
        <f t="shared" ca="1" si="3"/>
        <v>Onsite</v>
      </c>
    </row>
    <row r="200" spans="1:7" x14ac:dyDescent="0.25">
      <c r="A200" s="5" t="s">
        <v>584</v>
      </c>
      <c r="B200" s="5" t="s">
        <v>434</v>
      </c>
      <c r="C200" s="5" t="s">
        <v>116</v>
      </c>
      <c r="D200" s="5">
        <v>30</v>
      </c>
      <c r="E200" s="14">
        <v>8019012385</v>
      </c>
      <c r="F200" s="5" t="s">
        <v>235</v>
      </c>
      <c r="G200" t="str">
        <f t="shared" ca="1" si="3"/>
        <v>Online</v>
      </c>
    </row>
    <row r="201" spans="1:7" x14ac:dyDescent="0.25">
      <c r="A201" s="5" t="s">
        <v>585</v>
      </c>
      <c r="B201" s="5" t="s">
        <v>436</v>
      </c>
      <c r="C201" s="5" t="s">
        <v>120</v>
      </c>
      <c r="D201" s="5">
        <v>35</v>
      </c>
      <c r="E201" s="14">
        <v>8029123496</v>
      </c>
      <c r="F201" s="5" t="s">
        <v>238</v>
      </c>
      <c r="G201" t="str">
        <f t="shared" ca="1" si="3"/>
        <v>Online</v>
      </c>
    </row>
    <row r="202" spans="1:7" x14ac:dyDescent="0.25">
      <c r="A202" s="5" t="s">
        <v>586</v>
      </c>
      <c r="B202" s="5" t="s">
        <v>527</v>
      </c>
      <c r="C202" s="5" t="s">
        <v>115</v>
      </c>
      <c r="D202" s="5">
        <v>38</v>
      </c>
      <c r="E202" s="14">
        <v>8031234570</v>
      </c>
      <c r="F202" s="5" t="s">
        <v>235</v>
      </c>
      <c r="G202" t="str">
        <f t="shared" ca="1" si="3"/>
        <v>Online</v>
      </c>
    </row>
    <row r="203" spans="1:7" x14ac:dyDescent="0.25">
      <c r="A203" s="5" t="s">
        <v>587</v>
      </c>
      <c r="B203" s="5" t="s">
        <v>528</v>
      </c>
      <c r="C203" s="5" t="s">
        <v>116</v>
      </c>
      <c r="D203" s="5">
        <v>47</v>
      </c>
      <c r="E203" s="14">
        <v>8042345681</v>
      </c>
      <c r="F203" s="5" t="s">
        <v>238</v>
      </c>
      <c r="G203" t="str">
        <f t="shared" ca="1" si="3"/>
        <v>Onsite</v>
      </c>
    </row>
    <row r="204" spans="1:7" x14ac:dyDescent="0.25">
      <c r="A204" s="5" t="s">
        <v>588</v>
      </c>
      <c r="B204" s="5" t="s">
        <v>529</v>
      </c>
      <c r="C204" s="5" t="s">
        <v>119</v>
      </c>
      <c r="D204" s="5">
        <v>29</v>
      </c>
      <c r="E204" s="14">
        <v>8053456792</v>
      </c>
      <c r="F204" s="5" t="s">
        <v>235</v>
      </c>
      <c r="G204" t="str">
        <f t="shared" ca="1" si="3"/>
        <v>Online</v>
      </c>
    </row>
    <row r="205" spans="1:7" x14ac:dyDescent="0.25">
      <c r="A205" s="5" t="s">
        <v>589</v>
      </c>
      <c r="B205" s="5" t="s">
        <v>530</v>
      </c>
      <c r="C205" s="5" t="s">
        <v>115</v>
      </c>
      <c r="D205" s="5">
        <v>34</v>
      </c>
      <c r="E205" s="14">
        <v>8064567803</v>
      </c>
      <c r="F205" s="5" t="s">
        <v>241</v>
      </c>
      <c r="G205" t="str">
        <f t="shared" ca="1" si="3"/>
        <v>Onsite</v>
      </c>
    </row>
    <row r="206" spans="1:7" x14ac:dyDescent="0.25">
      <c r="A206" s="5" t="s">
        <v>590</v>
      </c>
      <c r="B206" s="5" t="s">
        <v>531</v>
      </c>
      <c r="C206" s="5" t="s">
        <v>237</v>
      </c>
      <c r="D206" s="5">
        <v>42</v>
      </c>
      <c r="E206" s="14">
        <v>8075678914</v>
      </c>
      <c r="F206" s="5" t="s">
        <v>238</v>
      </c>
      <c r="G206" t="str">
        <f t="shared" ca="1" si="3"/>
        <v>Online</v>
      </c>
    </row>
    <row r="207" spans="1:7" x14ac:dyDescent="0.25">
      <c r="A207" s="5" t="s">
        <v>591</v>
      </c>
      <c r="B207" s="5" t="s">
        <v>532</v>
      </c>
      <c r="C207" s="5" t="s">
        <v>120</v>
      </c>
      <c r="D207" s="5">
        <v>31</v>
      </c>
      <c r="E207" s="14">
        <v>8086789025</v>
      </c>
      <c r="F207" s="5" t="s">
        <v>235</v>
      </c>
      <c r="G207" t="str">
        <f t="shared" ca="1" si="3"/>
        <v>Online</v>
      </c>
    </row>
    <row r="208" spans="1:7" x14ac:dyDescent="0.25">
      <c r="A208" s="5" t="s">
        <v>592</v>
      </c>
      <c r="B208" s="5" t="s">
        <v>533</v>
      </c>
      <c r="C208" s="5" t="s">
        <v>117</v>
      </c>
      <c r="D208" s="5">
        <v>45</v>
      </c>
      <c r="E208" s="14">
        <v>8097890136</v>
      </c>
      <c r="F208" s="5" t="s">
        <v>238</v>
      </c>
      <c r="G208" t="str">
        <f t="shared" ca="1" si="3"/>
        <v>Online</v>
      </c>
    </row>
    <row r="209" spans="1:7" x14ac:dyDescent="0.25">
      <c r="A209" s="5" t="s">
        <v>593</v>
      </c>
      <c r="B209" s="5" t="s">
        <v>534</v>
      </c>
      <c r="C209" s="5" t="s">
        <v>116</v>
      </c>
      <c r="D209" s="5">
        <v>28</v>
      </c>
      <c r="E209" s="14">
        <v>8008901247</v>
      </c>
      <c r="F209" s="5" t="s">
        <v>235</v>
      </c>
      <c r="G209" t="str">
        <f t="shared" ca="1" si="3"/>
        <v>Onsite</v>
      </c>
    </row>
    <row r="210" spans="1:7" x14ac:dyDescent="0.25">
      <c r="A210" s="5" t="s">
        <v>594</v>
      </c>
      <c r="B210" s="5" t="s">
        <v>535</v>
      </c>
      <c r="C210" s="5" t="s">
        <v>115</v>
      </c>
      <c r="D210" s="5">
        <v>49</v>
      </c>
      <c r="E210" s="14">
        <v>8019012358</v>
      </c>
      <c r="F210" s="5" t="s">
        <v>238</v>
      </c>
      <c r="G210" t="str">
        <f t="shared" ca="1" si="3"/>
        <v>Onsite</v>
      </c>
    </row>
    <row r="211" spans="1:7" x14ac:dyDescent="0.25">
      <c r="A211" s="5" t="s">
        <v>595</v>
      </c>
      <c r="B211" s="5" t="s">
        <v>536</v>
      </c>
      <c r="C211" s="5" t="s">
        <v>119</v>
      </c>
      <c r="D211" s="5">
        <v>33</v>
      </c>
      <c r="E211" s="14">
        <v>8029123469</v>
      </c>
      <c r="F211" s="5" t="s">
        <v>235</v>
      </c>
      <c r="G211" t="str">
        <f t="shared" ca="1" si="3"/>
        <v>Onsite</v>
      </c>
    </row>
    <row r="212" spans="1:7" x14ac:dyDescent="0.25">
      <c r="A212" s="5" t="s">
        <v>596</v>
      </c>
      <c r="B212" s="5" t="s">
        <v>537</v>
      </c>
      <c r="C212" s="5" t="s">
        <v>237</v>
      </c>
      <c r="D212" s="5">
        <v>27</v>
      </c>
      <c r="E212" s="14">
        <v>8031234580</v>
      </c>
      <c r="F212" s="5" t="s">
        <v>235</v>
      </c>
      <c r="G212" t="str">
        <f t="shared" ca="1" si="3"/>
        <v>Onsite</v>
      </c>
    </row>
    <row r="213" spans="1:7" x14ac:dyDescent="0.25">
      <c r="A213" s="5" t="s">
        <v>597</v>
      </c>
      <c r="B213" s="5" t="s">
        <v>538</v>
      </c>
      <c r="C213" s="5" t="s">
        <v>115</v>
      </c>
      <c r="D213" s="5">
        <v>40</v>
      </c>
      <c r="E213" s="14">
        <v>8042345691</v>
      </c>
      <c r="F213" s="5" t="s">
        <v>238</v>
      </c>
      <c r="G213" t="str">
        <f t="shared" ca="1" si="3"/>
        <v>Online</v>
      </c>
    </row>
    <row r="214" spans="1:7" x14ac:dyDescent="0.25">
      <c r="A214" s="5" t="s">
        <v>598</v>
      </c>
      <c r="B214" s="5" t="s">
        <v>539</v>
      </c>
      <c r="C214" s="5" t="s">
        <v>117</v>
      </c>
      <c r="D214" s="5">
        <v>36</v>
      </c>
      <c r="E214" s="14">
        <v>8053456712</v>
      </c>
      <c r="F214" s="5" t="s">
        <v>235</v>
      </c>
      <c r="G214" t="str">
        <f t="shared" ca="1" si="3"/>
        <v>Online</v>
      </c>
    </row>
    <row r="215" spans="1:7" x14ac:dyDescent="0.25">
      <c r="A215" s="5" t="s">
        <v>599</v>
      </c>
      <c r="B215" s="5" t="s">
        <v>540</v>
      </c>
      <c r="C215" s="5" t="s">
        <v>116</v>
      </c>
      <c r="D215" s="5">
        <v>30</v>
      </c>
      <c r="E215" s="14">
        <v>8064567823</v>
      </c>
      <c r="F215" s="5" t="s">
        <v>241</v>
      </c>
      <c r="G215" t="str">
        <f t="shared" ca="1" si="3"/>
        <v>Online</v>
      </c>
    </row>
    <row r="216" spans="1:7" x14ac:dyDescent="0.25">
      <c r="A216" s="5" t="s">
        <v>600</v>
      </c>
      <c r="B216" s="5" t="s">
        <v>541</v>
      </c>
      <c r="C216" s="5" t="s">
        <v>120</v>
      </c>
      <c r="D216" s="5">
        <v>39</v>
      </c>
      <c r="E216" s="14">
        <v>8075678934</v>
      </c>
      <c r="F216" s="5" t="s">
        <v>238</v>
      </c>
      <c r="G216" t="str">
        <f t="shared" ca="1" si="3"/>
        <v>Online</v>
      </c>
    </row>
    <row r="217" spans="1:7" x14ac:dyDescent="0.25">
      <c r="A217" s="5" t="s">
        <v>601</v>
      </c>
      <c r="B217" s="5" t="s">
        <v>542</v>
      </c>
      <c r="C217" s="5" t="s">
        <v>119</v>
      </c>
      <c r="D217" s="5">
        <v>32</v>
      </c>
      <c r="E217" s="14">
        <v>8086789045</v>
      </c>
      <c r="F217" s="5" t="s">
        <v>235</v>
      </c>
      <c r="G217" t="str">
        <f t="shared" ca="1" si="3"/>
        <v>Onsite</v>
      </c>
    </row>
    <row r="218" spans="1:7" x14ac:dyDescent="0.25">
      <c r="A218" s="5" t="s">
        <v>602</v>
      </c>
      <c r="B218" s="5" t="s">
        <v>543</v>
      </c>
      <c r="C218" s="5" t="s">
        <v>237</v>
      </c>
      <c r="D218" s="5">
        <v>46</v>
      </c>
      <c r="E218" s="14">
        <v>8097890156</v>
      </c>
      <c r="F218" s="5" t="s">
        <v>238</v>
      </c>
      <c r="G218" t="str">
        <f t="shared" ca="1" si="3"/>
        <v>Online</v>
      </c>
    </row>
    <row r="219" spans="1:7" x14ac:dyDescent="0.25">
      <c r="A219" s="5" t="s">
        <v>603</v>
      </c>
      <c r="B219" s="5" t="s">
        <v>544</v>
      </c>
      <c r="C219" s="5" t="s">
        <v>117</v>
      </c>
      <c r="D219" s="5">
        <v>31</v>
      </c>
      <c r="E219" s="14">
        <v>8008901267</v>
      </c>
      <c r="F219" s="5" t="s">
        <v>235</v>
      </c>
      <c r="G219" t="str">
        <f t="shared" ca="1" si="3"/>
        <v>Onsite</v>
      </c>
    </row>
    <row r="220" spans="1:7" x14ac:dyDescent="0.25">
      <c r="A220" s="5" t="s">
        <v>604</v>
      </c>
      <c r="B220" s="5" t="s">
        <v>545</v>
      </c>
      <c r="C220" s="5" t="s">
        <v>115</v>
      </c>
      <c r="D220" s="5">
        <v>44</v>
      </c>
      <c r="E220" s="14">
        <v>8019012378</v>
      </c>
      <c r="F220" s="5" t="s">
        <v>238</v>
      </c>
      <c r="G220" t="str">
        <f t="shared" ca="1" si="3"/>
        <v>Onsite</v>
      </c>
    </row>
    <row r="221" spans="1:7" x14ac:dyDescent="0.25">
      <c r="A221" s="5" t="s">
        <v>605</v>
      </c>
      <c r="B221" s="5" t="s">
        <v>546</v>
      </c>
      <c r="C221" s="5" t="s">
        <v>116</v>
      </c>
      <c r="D221" s="5">
        <v>28</v>
      </c>
      <c r="E221" s="14">
        <v>8029123489</v>
      </c>
      <c r="F221" s="5" t="s">
        <v>235</v>
      </c>
      <c r="G221" t="str">
        <f t="shared" ca="1" si="3"/>
        <v>Online</v>
      </c>
    </row>
    <row r="222" spans="1:7" x14ac:dyDescent="0.25">
      <c r="A222" s="5" t="s">
        <v>606</v>
      </c>
      <c r="B222" s="5" t="s">
        <v>547</v>
      </c>
      <c r="C222" s="5" t="s">
        <v>119</v>
      </c>
      <c r="D222" s="5">
        <v>35</v>
      </c>
      <c r="E222" s="14">
        <v>8031234590</v>
      </c>
      <c r="F222" s="5" t="s">
        <v>235</v>
      </c>
      <c r="G222" t="str">
        <f t="shared" ca="1" si="3"/>
        <v>Onsite</v>
      </c>
    </row>
    <row r="223" spans="1:7" x14ac:dyDescent="0.25">
      <c r="A223" s="5" t="s">
        <v>607</v>
      </c>
      <c r="B223" s="5" t="s">
        <v>548</v>
      </c>
      <c r="C223" s="5" t="s">
        <v>115</v>
      </c>
      <c r="D223" s="5">
        <v>41</v>
      </c>
      <c r="E223" s="14">
        <v>8042345601</v>
      </c>
      <c r="F223" s="5" t="s">
        <v>238</v>
      </c>
      <c r="G223" t="str">
        <f t="shared" ca="1" si="3"/>
        <v>Online</v>
      </c>
    </row>
    <row r="224" spans="1:7" x14ac:dyDescent="0.25">
      <c r="A224" s="5" t="s">
        <v>608</v>
      </c>
      <c r="B224" s="5" t="s">
        <v>549</v>
      </c>
      <c r="C224" s="5" t="s">
        <v>237</v>
      </c>
      <c r="D224" s="5">
        <v>29</v>
      </c>
      <c r="E224" s="14">
        <v>8053456713</v>
      </c>
      <c r="F224" s="5" t="s">
        <v>235</v>
      </c>
      <c r="G224" t="str">
        <f t="shared" ca="1" si="3"/>
        <v>Online</v>
      </c>
    </row>
    <row r="225" spans="1:7" x14ac:dyDescent="0.25">
      <c r="A225" s="5" t="s">
        <v>609</v>
      </c>
      <c r="B225" s="5" t="s">
        <v>550</v>
      </c>
      <c r="C225" s="5" t="s">
        <v>120</v>
      </c>
      <c r="D225" s="5">
        <v>47</v>
      </c>
      <c r="E225" s="14">
        <v>8064567824</v>
      </c>
      <c r="F225" s="5" t="s">
        <v>238</v>
      </c>
      <c r="G225" t="str">
        <f t="shared" ca="1" si="3"/>
        <v>Onsite</v>
      </c>
    </row>
    <row r="226" spans="1:7" x14ac:dyDescent="0.25">
      <c r="A226" s="5" t="s">
        <v>610</v>
      </c>
      <c r="B226" s="5" t="s">
        <v>551</v>
      </c>
      <c r="C226" s="5" t="s">
        <v>116</v>
      </c>
      <c r="D226" s="5">
        <v>38</v>
      </c>
      <c r="E226" s="14">
        <v>8075678935</v>
      </c>
      <c r="F226" s="5" t="s">
        <v>235</v>
      </c>
      <c r="G226" t="str">
        <f t="shared" ca="1" si="3"/>
        <v>Onsite</v>
      </c>
    </row>
    <row r="227" spans="1:7" x14ac:dyDescent="0.25">
      <c r="A227" s="5" t="s">
        <v>611</v>
      </c>
      <c r="B227" s="5" t="s">
        <v>552</v>
      </c>
      <c r="C227" s="5" t="s">
        <v>119</v>
      </c>
      <c r="D227" s="5">
        <v>26</v>
      </c>
      <c r="E227" s="14">
        <v>8086789046</v>
      </c>
      <c r="F227" s="5" t="s">
        <v>235</v>
      </c>
      <c r="G227" t="str">
        <f t="shared" ca="1" si="3"/>
        <v>Online</v>
      </c>
    </row>
    <row r="228" spans="1:7" x14ac:dyDescent="0.25">
      <c r="A228" s="5" t="s">
        <v>612</v>
      </c>
      <c r="B228" s="5" t="s">
        <v>553</v>
      </c>
      <c r="C228" s="5" t="s">
        <v>115</v>
      </c>
      <c r="D228" s="5">
        <v>43</v>
      </c>
      <c r="E228" s="14">
        <v>8097890157</v>
      </c>
      <c r="F228" s="5" t="s">
        <v>238</v>
      </c>
      <c r="G228" t="str">
        <f t="shared" ca="1" si="3"/>
        <v>Online</v>
      </c>
    </row>
    <row r="229" spans="1:7" x14ac:dyDescent="0.25">
      <c r="A229" s="5" t="s">
        <v>613</v>
      </c>
      <c r="B229" s="5" t="s">
        <v>554</v>
      </c>
      <c r="C229" s="5" t="s">
        <v>120</v>
      </c>
      <c r="D229" s="5">
        <v>34</v>
      </c>
      <c r="E229" s="14">
        <v>8008901268</v>
      </c>
      <c r="F229" s="5" t="s">
        <v>235</v>
      </c>
      <c r="G229" t="str">
        <f t="shared" ca="1" si="3"/>
        <v>Onsite</v>
      </c>
    </row>
    <row r="230" spans="1:7" x14ac:dyDescent="0.25">
      <c r="A230" s="5" t="s">
        <v>614</v>
      </c>
      <c r="B230" s="5" t="s">
        <v>555</v>
      </c>
      <c r="C230" s="5" t="s">
        <v>237</v>
      </c>
      <c r="D230" s="5">
        <v>50</v>
      </c>
      <c r="E230" s="14">
        <v>8019012379</v>
      </c>
      <c r="F230" s="5" t="s">
        <v>238</v>
      </c>
      <c r="G230" t="str">
        <f t="shared" ca="1" si="3"/>
        <v>Onsite</v>
      </c>
    </row>
    <row r="231" spans="1:7" x14ac:dyDescent="0.25">
      <c r="A231" s="5" t="s">
        <v>615</v>
      </c>
      <c r="B231" s="5" t="s">
        <v>556</v>
      </c>
      <c r="C231" s="5" t="s">
        <v>117</v>
      </c>
      <c r="D231" s="5">
        <v>27</v>
      </c>
      <c r="E231" s="14">
        <v>8029123480</v>
      </c>
      <c r="F231" s="5" t="s">
        <v>235</v>
      </c>
      <c r="G231" t="str">
        <f t="shared" ca="1" si="3"/>
        <v>Online</v>
      </c>
    </row>
    <row r="232" spans="1:7" x14ac:dyDescent="0.25">
      <c r="A232" s="5" t="s">
        <v>616</v>
      </c>
      <c r="B232" s="5" t="s">
        <v>557</v>
      </c>
      <c r="C232" s="5" t="s">
        <v>119</v>
      </c>
      <c r="D232" s="5">
        <v>40</v>
      </c>
      <c r="E232" s="14">
        <v>8031234591</v>
      </c>
      <c r="F232" s="5" t="s">
        <v>241</v>
      </c>
      <c r="G232" t="str">
        <f t="shared" ca="1" si="3"/>
        <v>Onsite</v>
      </c>
    </row>
    <row r="233" spans="1:7" x14ac:dyDescent="0.25">
      <c r="A233" s="5" t="s">
        <v>617</v>
      </c>
      <c r="B233" s="5" t="s">
        <v>558</v>
      </c>
      <c r="C233" s="5" t="s">
        <v>116</v>
      </c>
      <c r="D233" s="5">
        <v>36</v>
      </c>
      <c r="E233" s="14">
        <v>8042345602</v>
      </c>
      <c r="F233" s="5" t="s">
        <v>235</v>
      </c>
      <c r="G233" t="str">
        <f t="shared" ca="1" si="3"/>
        <v>Onsite</v>
      </c>
    </row>
    <row r="234" spans="1:7" x14ac:dyDescent="0.25">
      <c r="A234" s="5" t="s">
        <v>618</v>
      </c>
      <c r="B234" s="5" t="s">
        <v>559</v>
      </c>
      <c r="C234" s="5" t="s">
        <v>115</v>
      </c>
      <c r="D234" s="5">
        <v>32</v>
      </c>
      <c r="E234" s="14">
        <v>8053456714</v>
      </c>
      <c r="F234" s="5" t="s">
        <v>235</v>
      </c>
      <c r="G234" t="str">
        <f t="shared" ca="1" si="3"/>
        <v>Online</v>
      </c>
    </row>
    <row r="235" spans="1:7" x14ac:dyDescent="0.25">
      <c r="A235" s="5" t="s">
        <v>619</v>
      </c>
      <c r="B235" s="5" t="s">
        <v>560</v>
      </c>
      <c r="C235" s="5" t="s">
        <v>120</v>
      </c>
      <c r="D235" s="5">
        <v>45</v>
      </c>
      <c r="E235" s="14">
        <v>8064567825</v>
      </c>
      <c r="F235" s="5" t="s">
        <v>238</v>
      </c>
      <c r="G235" t="str">
        <f t="shared" ca="1" si="3"/>
        <v>Online</v>
      </c>
    </row>
    <row r="236" spans="1:7" x14ac:dyDescent="0.25">
      <c r="A236" s="5" t="s">
        <v>620</v>
      </c>
      <c r="B236" s="5" t="s">
        <v>561</v>
      </c>
      <c r="C236" s="5" t="s">
        <v>237</v>
      </c>
      <c r="D236" s="5">
        <v>29</v>
      </c>
      <c r="E236" s="14">
        <v>8075678936</v>
      </c>
      <c r="F236" s="5" t="s">
        <v>235</v>
      </c>
      <c r="G236" t="str">
        <f t="shared" ca="1" si="3"/>
        <v>Onsite</v>
      </c>
    </row>
    <row r="237" spans="1:7" x14ac:dyDescent="0.25">
      <c r="A237" s="5" t="s">
        <v>621</v>
      </c>
      <c r="B237" s="5" t="s">
        <v>562</v>
      </c>
      <c r="C237" s="5" t="s">
        <v>115</v>
      </c>
      <c r="D237" s="5">
        <v>48</v>
      </c>
      <c r="E237" s="14">
        <v>8086789047</v>
      </c>
      <c r="F237" s="5" t="s">
        <v>238</v>
      </c>
      <c r="G237" t="str">
        <f t="shared" ca="1" si="3"/>
        <v>Onsite</v>
      </c>
    </row>
    <row r="238" spans="1:7" x14ac:dyDescent="0.25">
      <c r="A238" s="5" t="s">
        <v>622</v>
      </c>
      <c r="B238" s="5" t="s">
        <v>563</v>
      </c>
      <c r="C238" s="5" t="s">
        <v>119</v>
      </c>
      <c r="D238" s="5">
        <v>31</v>
      </c>
      <c r="E238" s="14">
        <v>8097890158</v>
      </c>
      <c r="F238" s="5" t="s">
        <v>235</v>
      </c>
      <c r="G238" t="str">
        <f t="shared" ca="1" si="3"/>
        <v>Online</v>
      </c>
    </row>
    <row r="239" spans="1:7" x14ac:dyDescent="0.25">
      <c r="A239" s="5" t="s">
        <v>623</v>
      </c>
      <c r="B239" s="5" t="s">
        <v>564</v>
      </c>
      <c r="C239" s="5" t="s">
        <v>116</v>
      </c>
      <c r="D239" s="5">
        <v>27</v>
      </c>
      <c r="E239" s="14">
        <v>8008901269</v>
      </c>
      <c r="F239" s="5" t="s">
        <v>235</v>
      </c>
      <c r="G239" t="str">
        <f t="shared" ca="1" si="3"/>
        <v>Online</v>
      </c>
    </row>
    <row r="240" spans="1:7" x14ac:dyDescent="0.25">
      <c r="A240" s="5" t="s">
        <v>624</v>
      </c>
      <c r="B240" s="5" t="s">
        <v>565</v>
      </c>
      <c r="C240" s="5" t="s">
        <v>117</v>
      </c>
      <c r="D240" s="5">
        <v>44</v>
      </c>
      <c r="E240" s="14">
        <v>8019012380</v>
      </c>
      <c r="F240" s="5" t="s">
        <v>241</v>
      </c>
      <c r="G240" t="str">
        <f t="shared" ca="1" si="3"/>
        <v>Online</v>
      </c>
    </row>
    <row r="241" spans="1:7" x14ac:dyDescent="0.25">
      <c r="A241" s="5" t="s">
        <v>625</v>
      </c>
      <c r="B241" s="5" t="s">
        <v>566</v>
      </c>
      <c r="C241" s="5" t="s">
        <v>120</v>
      </c>
      <c r="D241" s="5">
        <v>35</v>
      </c>
      <c r="E241" s="14">
        <v>8029123481</v>
      </c>
      <c r="F241" s="5" t="s">
        <v>238</v>
      </c>
      <c r="G241" t="str">
        <f t="shared" ca="1" si="3"/>
        <v>Onsite</v>
      </c>
    </row>
    <row r="242" spans="1:7" x14ac:dyDescent="0.25">
      <c r="A242" s="5" t="s">
        <v>626</v>
      </c>
      <c r="B242" s="5" t="s">
        <v>567</v>
      </c>
      <c r="C242" s="5" t="s">
        <v>237</v>
      </c>
      <c r="D242" s="5">
        <v>30</v>
      </c>
      <c r="E242" s="14">
        <v>8031234592</v>
      </c>
      <c r="F242" s="5" t="s">
        <v>235</v>
      </c>
      <c r="G242" t="str">
        <f t="shared" ca="1" si="3"/>
        <v>Onsite</v>
      </c>
    </row>
    <row r="243" spans="1:7" x14ac:dyDescent="0.25">
      <c r="A243" s="5" t="s">
        <v>627</v>
      </c>
      <c r="B243" s="5" t="s">
        <v>568</v>
      </c>
      <c r="C243" s="5" t="s">
        <v>115</v>
      </c>
      <c r="D243" s="5">
        <v>46</v>
      </c>
      <c r="E243" s="14">
        <v>8042345603</v>
      </c>
      <c r="F243" s="5" t="s">
        <v>238</v>
      </c>
      <c r="G243" t="str">
        <f t="shared" ca="1" si="3"/>
        <v>Online</v>
      </c>
    </row>
    <row r="244" spans="1:7" x14ac:dyDescent="0.25">
      <c r="A244" s="5" t="s">
        <v>628</v>
      </c>
      <c r="B244" s="5" t="s">
        <v>569</v>
      </c>
      <c r="C244" s="5" t="s">
        <v>119</v>
      </c>
      <c r="D244" s="5">
        <v>28</v>
      </c>
      <c r="E244" s="14">
        <v>8053456715</v>
      </c>
      <c r="F244" s="5" t="s">
        <v>235</v>
      </c>
      <c r="G244" t="str">
        <f t="shared" ca="1" si="3"/>
        <v>Online</v>
      </c>
    </row>
    <row r="245" spans="1:7" x14ac:dyDescent="0.25">
      <c r="A245" s="5" t="s">
        <v>629</v>
      </c>
      <c r="B245" s="5" t="s">
        <v>570</v>
      </c>
      <c r="C245" s="5" t="s">
        <v>116</v>
      </c>
      <c r="D245" s="5">
        <v>41</v>
      </c>
      <c r="E245" s="14">
        <v>8064567826</v>
      </c>
      <c r="F245" s="5" t="s">
        <v>238</v>
      </c>
      <c r="G245" t="str">
        <f t="shared" ca="1" si="3"/>
        <v>Online</v>
      </c>
    </row>
    <row r="246" spans="1:7" x14ac:dyDescent="0.25">
      <c r="A246" s="5" t="s">
        <v>630</v>
      </c>
      <c r="B246" s="5" t="s">
        <v>571</v>
      </c>
      <c r="C246" s="5" t="s">
        <v>117</v>
      </c>
      <c r="D246" s="5">
        <v>33</v>
      </c>
      <c r="E246" s="14">
        <v>8075678937</v>
      </c>
      <c r="F246" s="5" t="s">
        <v>235</v>
      </c>
      <c r="G246" t="str">
        <f t="shared" ca="1" si="3"/>
        <v>Online</v>
      </c>
    </row>
    <row r="247" spans="1:7" x14ac:dyDescent="0.25">
      <c r="A247" s="5" t="s">
        <v>631</v>
      </c>
      <c r="B247" s="5" t="s">
        <v>572</v>
      </c>
      <c r="C247" s="5" t="s">
        <v>115</v>
      </c>
      <c r="D247" s="5">
        <v>39</v>
      </c>
      <c r="E247" s="14">
        <v>8086789048</v>
      </c>
      <c r="F247" s="5" t="s">
        <v>238</v>
      </c>
      <c r="G247" t="str">
        <f t="shared" ca="1" si="3"/>
        <v>Online</v>
      </c>
    </row>
    <row r="248" spans="1:7" x14ac:dyDescent="0.25">
      <c r="A248" s="5" t="s">
        <v>632</v>
      </c>
      <c r="B248" s="5" t="s">
        <v>296</v>
      </c>
      <c r="C248" s="5" t="s">
        <v>120</v>
      </c>
      <c r="D248" s="5">
        <v>29</v>
      </c>
      <c r="E248" s="14">
        <v>8097890159</v>
      </c>
      <c r="F248" s="5" t="s">
        <v>235</v>
      </c>
      <c r="G248" t="str">
        <f t="shared" ca="1" si="3"/>
        <v>Onsite</v>
      </c>
    </row>
    <row r="249" spans="1:7" x14ac:dyDescent="0.25">
      <c r="A249" s="5" t="s">
        <v>633</v>
      </c>
      <c r="B249" s="5" t="s">
        <v>573</v>
      </c>
      <c r="C249" s="5" t="s">
        <v>237</v>
      </c>
      <c r="D249" s="5">
        <v>42</v>
      </c>
      <c r="E249" s="14">
        <v>8008901270</v>
      </c>
      <c r="F249" s="5" t="s">
        <v>238</v>
      </c>
      <c r="G249" t="str">
        <f t="shared" ca="1" si="3"/>
        <v>Onsite</v>
      </c>
    </row>
    <row r="250" spans="1:7" x14ac:dyDescent="0.25">
      <c r="A250" s="5" t="s">
        <v>634</v>
      </c>
      <c r="B250" s="5" t="s">
        <v>574</v>
      </c>
      <c r="C250" s="5" t="s">
        <v>116</v>
      </c>
      <c r="D250" s="5">
        <v>34</v>
      </c>
      <c r="E250" s="14">
        <v>8019012381</v>
      </c>
      <c r="F250" s="5" t="s">
        <v>235</v>
      </c>
      <c r="G250" t="str">
        <f t="shared" ca="1" si="3"/>
        <v>Onsite</v>
      </c>
    </row>
    <row r="251" spans="1:7" x14ac:dyDescent="0.25">
      <c r="A251" s="5" t="s">
        <v>635</v>
      </c>
      <c r="B251" s="5" t="s">
        <v>575</v>
      </c>
      <c r="C251" s="5" t="s">
        <v>119</v>
      </c>
      <c r="D251" s="5">
        <v>49</v>
      </c>
      <c r="E251" s="14">
        <v>8029123482</v>
      </c>
      <c r="F251" s="5" t="s">
        <v>238</v>
      </c>
      <c r="G251" t="str">
        <f t="shared" ca="1" si="3"/>
        <v>Online</v>
      </c>
    </row>
  </sheetData>
  <sheetProtection selectLockedCells="1"/>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3085-83F9-417A-A0C5-0E3F1A6AA52B}">
  <dimension ref="A1:F365"/>
  <sheetViews>
    <sheetView workbookViewId="0">
      <selection activeCell="A2" sqref="A2"/>
    </sheetView>
  </sheetViews>
  <sheetFormatPr defaultRowHeight="15" x14ac:dyDescent="0.25"/>
  <cols>
    <col min="1" max="1" width="13.42578125" customWidth="1"/>
    <col min="5" max="5" width="10" customWidth="1"/>
    <col min="6" max="6" width="11.5703125" customWidth="1"/>
  </cols>
  <sheetData>
    <row r="1" spans="1:6" x14ac:dyDescent="0.25">
      <c r="A1" t="s">
        <v>913</v>
      </c>
      <c r="B1" t="s">
        <v>914</v>
      </c>
      <c r="C1" t="s">
        <v>915</v>
      </c>
      <c r="D1" t="s">
        <v>916</v>
      </c>
      <c r="E1" t="s">
        <v>918</v>
      </c>
      <c r="F1" t="s">
        <v>917</v>
      </c>
    </row>
    <row r="2" spans="1:6" x14ac:dyDescent="0.25">
      <c r="A2" s="1">
        <v>45658</v>
      </c>
      <c r="B2">
        <v>2025</v>
      </c>
      <c r="C2" t="s">
        <v>890</v>
      </c>
      <c r="D2">
        <v>1</v>
      </c>
      <c r="E2" t="s">
        <v>891</v>
      </c>
      <c r="F2" t="s">
        <v>892</v>
      </c>
    </row>
    <row r="3" spans="1:6" x14ac:dyDescent="0.25">
      <c r="A3" s="1">
        <v>45659</v>
      </c>
      <c r="B3">
        <v>2025</v>
      </c>
      <c r="C3" t="s">
        <v>890</v>
      </c>
      <c r="D3">
        <v>2</v>
      </c>
      <c r="E3" t="s">
        <v>891</v>
      </c>
      <c r="F3" t="s">
        <v>893</v>
      </c>
    </row>
    <row r="4" spans="1:6" x14ac:dyDescent="0.25">
      <c r="A4" s="1">
        <v>45660</v>
      </c>
      <c r="B4">
        <v>2025</v>
      </c>
      <c r="C4" t="s">
        <v>890</v>
      </c>
      <c r="D4">
        <v>3</v>
      </c>
      <c r="E4" t="s">
        <v>891</v>
      </c>
      <c r="F4" t="s">
        <v>894</v>
      </c>
    </row>
    <row r="5" spans="1:6" x14ac:dyDescent="0.25">
      <c r="A5" s="1">
        <v>45661</v>
      </c>
      <c r="B5">
        <v>2025</v>
      </c>
      <c r="C5" t="s">
        <v>890</v>
      </c>
      <c r="D5">
        <v>4</v>
      </c>
      <c r="E5" t="s">
        <v>891</v>
      </c>
      <c r="F5" t="s">
        <v>895</v>
      </c>
    </row>
    <row r="6" spans="1:6" x14ac:dyDescent="0.25">
      <c r="A6" s="1">
        <v>45662</v>
      </c>
      <c r="B6">
        <v>2025</v>
      </c>
      <c r="C6" t="s">
        <v>890</v>
      </c>
      <c r="D6">
        <v>5</v>
      </c>
      <c r="E6" t="s">
        <v>891</v>
      </c>
      <c r="F6" t="s">
        <v>896</v>
      </c>
    </row>
    <row r="7" spans="1:6" x14ac:dyDescent="0.25">
      <c r="A7" s="1">
        <v>45663</v>
      </c>
      <c r="B7">
        <v>2025</v>
      </c>
      <c r="C7" t="s">
        <v>890</v>
      </c>
      <c r="D7">
        <v>6</v>
      </c>
      <c r="E7" t="s">
        <v>891</v>
      </c>
      <c r="F7" t="s">
        <v>897</v>
      </c>
    </row>
    <row r="8" spans="1:6" x14ac:dyDescent="0.25">
      <c r="A8" s="1">
        <v>45664</v>
      </c>
      <c r="B8">
        <v>2025</v>
      </c>
      <c r="C8" t="s">
        <v>890</v>
      </c>
      <c r="D8">
        <v>7</v>
      </c>
      <c r="E8" t="s">
        <v>891</v>
      </c>
      <c r="F8" t="s">
        <v>898</v>
      </c>
    </row>
    <row r="9" spans="1:6" x14ac:dyDescent="0.25">
      <c r="A9" s="1">
        <v>45665</v>
      </c>
      <c r="B9">
        <v>2025</v>
      </c>
      <c r="C9" t="s">
        <v>890</v>
      </c>
      <c r="D9">
        <v>8</v>
      </c>
      <c r="E9" t="s">
        <v>891</v>
      </c>
      <c r="F9" t="s">
        <v>892</v>
      </c>
    </row>
    <row r="10" spans="1:6" x14ac:dyDescent="0.25">
      <c r="A10" s="1">
        <v>45666</v>
      </c>
      <c r="B10">
        <v>2025</v>
      </c>
      <c r="C10" t="s">
        <v>890</v>
      </c>
      <c r="D10">
        <v>9</v>
      </c>
      <c r="E10" t="s">
        <v>891</v>
      </c>
      <c r="F10" t="s">
        <v>893</v>
      </c>
    </row>
    <row r="11" spans="1:6" x14ac:dyDescent="0.25">
      <c r="A11" s="1">
        <v>45667</v>
      </c>
      <c r="B11">
        <v>2025</v>
      </c>
      <c r="C11" t="s">
        <v>890</v>
      </c>
      <c r="D11">
        <v>10</v>
      </c>
      <c r="E11" t="s">
        <v>891</v>
      </c>
      <c r="F11" t="s">
        <v>894</v>
      </c>
    </row>
    <row r="12" spans="1:6" x14ac:dyDescent="0.25">
      <c r="A12" s="1">
        <v>45668</v>
      </c>
      <c r="B12">
        <v>2025</v>
      </c>
      <c r="C12" t="s">
        <v>890</v>
      </c>
      <c r="D12">
        <v>11</v>
      </c>
      <c r="E12" t="s">
        <v>891</v>
      </c>
      <c r="F12" t="s">
        <v>895</v>
      </c>
    </row>
    <row r="13" spans="1:6" x14ac:dyDescent="0.25">
      <c r="A13" s="1">
        <v>45669</v>
      </c>
      <c r="B13">
        <v>2025</v>
      </c>
      <c r="C13" t="s">
        <v>890</v>
      </c>
      <c r="D13">
        <v>12</v>
      </c>
      <c r="E13" t="s">
        <v>891</v>
      </c>
      <c r="F13" t="s">
        <v>896</v>
      </c>
    </row>
    <row r="14" spans="1:6" x14ac:dyDescent="0.25">
      <c r="A14" s="1">
        <v>45670</v>
      </c>
      <c r="B14">
        <v>2025</v>
      </c>
      <c r="C14" t="s">
        <v>890</v>
      </c>
      <c r="D14">
        <v>13</v>
      </c>
      <c r="E14" t="s">
        <v>891</v>
      </c>
      <c r="F14" t="s">
        <v>897</v>
      </c>
    </row>
    <row r="15" spans="1:6" x14ac:dyDescent="0.25">
      <c r="A15" s="1">
        <v>45671</v>
      </c>
      <c r="B15">
        <v>2025</v>
      </c>
      <c r="C15" t="s">
        <v>890</v>
      </c>
      <c r="D15">
        <v>14</v>
      </c>
      <c r="E15" t="s">
        <v>891</v>
      </c>
      <c r="F15" t="s">
        <v>898</v>
      </c>
    </row>
    <row r="16" spans="1:6" x14ac:dyDescent="0.25">
      <c r="A16" s="1">
        <v>45672</v>
      </c>
      <c r="B16">
        <v>2025</v>
      </c>
      <c r="C16" t="s">
        <v>890</v>
      </c>
      <c r="D16">
        <v>15</v>
      </c>
      <c r="E16" t="s">
        <v>891</v>
      </c>
      <c r="F16" t="s">
        <v>892</v>
      </c>
    </row>
    <row r="17" spans="1:6" x14ac:dyDescent="0.25">
      <c r="A17" s="1">
        <v>45673</v>
      </c>
      <c r="B17">
        <v>2025</v>
      </c>
      <c r="C17" t="s">
        <v>890</v>
      </c>
      <c r="D17">
        <v>16</v>
      </c>
      <c r="E17" t="s">
        <v>891</v>
      </c>
      <c r="F17" t="s">
        <v>893</v>
      </c>
    </row>
    <row r="18" spans="1:6" x14ac:dyDescent="0.25">
      <c r="A18" s="1">
        <v>45674</v>
      </c>
      <c r="B18">
        <v>2025</v>
      </c>
      <c r="C18" t="s">
        <v>890</v>
      </c>
      <c r="D18">
        <v>17</v>
      </c>
      <c r="E18" t="s">
        <v>891</v>
      </c>
      <c r="F18" t="s">
        <v>894</v>
      </c>
    </row>
    <row r="19" spans="1:6" x14ac:dyDescent="0.25">
      <c r="A19" s="1">
        <v>45675</v>
      </c>
      <c r="B19">
        <v>2025</v>
      </c>
      <c r="C19" t="s">
        <v>890</v>
      </c>
      <c r="D19">
        <v>18</v>
      </c>
      <c r="E19" t="s">
        <v>891</v>
      </c>
      <c r="F19" t="s">
        <v>895</v>
      </c>
    </row>
    <row r="20" spans="1:6" x14ac:dyDescent="0.25">
      <c r="A20" s="1">
        <v>45676</v>
      </c>
      <c r="B20">
        <v>2025</v>
      </c>
      <c r="C20" t="s">
        <v>890</v>
      </c>
      <c r="D20">
        <v>19</v>
      </c>
      <c r="E20" t="s">
        <v>891</v>
      </c>
      <c r="F20" t="s">
        <v>896</v>
      </c>
    </row>
    <row r="21" spans="1:6" x14ac:dyDescent="0.25">
      <c r="A21" s="1">
        <v>45677</v>
      </c>
      <c r="B21">
        <v>2025</v>
      </c>
      <c r="C21" t="s">
        <v>890</v>
      </c>
      <c r="D21">
        <v>20</v>
      </c>
      <c r="E21" t="s">
        <v>891</v>
      </c>
      <c r="F21" t="s">
        <v>897</v>
      </c>
    </row>
    <row r="22" spans="1:6" x14ac:dyDescent="0.25">
      <c r="A22" s="1">
        <v>45678</v>
      </c>
      <c r="B22">
        <v>2025</v>
      </c>
      <c r="C22" t="s">
        <v>890</v>
      </c>
      <c r="D22">
        <v>21</v>
      </c>
      <c r="E22" t="s">
        <v>891</v>
      </c>
      <c r="F22" t="s">
        <v>898</v>
      </c>
    </row>
    <row r="23" spans="1:6" x14ac:dyDescent="0.25">
      <c r="A23" s="1">
        <v>45679</v>
      </c>
      <c r="B23">
        <v>2025</v>
      </c>
      <c r="C23" t="s">
        <v>890</v>
      </c>
      <c r="D23">
        <v>22</v>
      </c>
      <c r="E23" t="s">
        <v>891</v>
      </c>
      <c r="F23" t="s">
        <v>892</v>
      </c>
    </row>
    <row r="24" spans="1:6" x14ac:dyDescent="0.25">
      <c r="A24" s="1">
        <v>45680</v>
      </c>
      <c r="B24">
        <v>2025</v>
      </c>
      <c r="C24" t="s">
        <v>890</v>
      </c>
      <c r="D24">
        <v>23</v>
      </c>
      <c r="E24" t="s">
        <v>891</v>
      </c>
      <c r="F24" t="s">
        <v>893</v>
      </c>
    </row>
    <row r="25" spans="1:6" x14ac:dyDescent="0.25">
      <c r="A25" s="1">
        <v>45681</v>
      </c>
      <c r="B25">
        <v>2025</v>
      </c>
      <c r="C25" t="s">
        <v>890</v>
      </c>
      <c r="D25">
        <v>24</v>
      </c>
      <c r="E25" t="s">
        <v>891</v>
      </c>
      <c r="F25" t="s">
        <v>894</v>
      </c>
    </row>
    <row r="26" spans="1:6" x14ac:dyDescent="0.25">
      <c r="A26" s="1">
        <v>45682</v>
      </c>
      <c r="B26">
        <v>2025</v>
      </c>
      <c r="C26" t="s">
        <v>890</v>
      </c>
      <c r="D26">
        <v>25</v>
      </c>
      <c r="E26" t="s">
        <v>891</v>
      </c>
      <c r="F26" t="s">
        <v>895</v>
      </c>
    </row>
    <row r="27" spans="1:6" x14ac:dyDescent="0.25">
      <c r="A27" s="1">
        <v>45683</v>
      </c>
      <c r="B27">
        <v>2025</v>
      </c>
      <c r="C27" t="s">
        <v>890</v>
      </c>
      <c r="D27">
        <v>26</v>
      </c>
      <c r="E27" t="s">
        <v>891</v>
      </c>
      <c r="F27" t="s">
        <v>896</v>
      </c>
    </row>
    <row r="28" spans="1:6" x14ac:dyDescent="0.25">
      <c r="A28" s="1">
        <v>45684</v>
      </c>
      <c r="B28">
        <v>2025</v>
      </c>
      <c r="C28" t="s">
        <v>890</v>
      </c>
      <c r="D28">
        <v>27</v>
      </c>
      <c r="E28" t="s">
        <v>891</v>
      </c>
      <c r="F28" t="s">
        <v>897</v>
      </c>
    </row>
    <row r="29" spans="1:6" x14ac:dyDescent="0.25">
      <c r="A29" s="1">
        <v>45685</v>
      </c>
      <c r="B29">
        <v>2025</v>
      </c>
      <c r="C29" t="s">
        <v>890</v>
      </c>
      <c r="D29">
        <v>28</v>
      </c>
      <c r="E29" t="s">
        <v>891</v>
      </c>
      <c r="F29" t="s">
        <v>898</v>
      </c>
    </row>
    <row r="30" spans="1:6" x14ac:dyDescent="0.25">
      <c r="A30" s="1">
        <v>45686</v>
      </c>
      <c r="B30">
        <v>2025</v>
      </c>
      <c r="C30" t="s">
        <v>890</v>
      </c>
      <c r="D30">
        <v>29</v>
      </c>
      <c r="E30" t="s">
        <v>891</v>
      </c>
      <c r="F30" t="s">
        <v>892</v>
      </c>
    </row>
    <row r="31" spans="1:6" x14ac:dyDescent="0.25">
      <c r="A31" s="1">
        <v>45687</v>
      </c>
      <c r="B31">
        <v>2025</v>
      </c>
      <c r="C31" t="s">
        <v>890</v>
      </c>
      <c r="D31">
        <v>30</v>
      </c>
      <c r="E31" t="s">
        <v>891</v>
      </c>
      <c r="F31" t="s">
        <v>893</v>
      </c>
    </row>
    <row r="32" spans="1:6" x14ac:dyDescent="0.25">
      <c r="A32" s="1">
        <v>45688</v>
      </c>
      <c r="B32">
        <v>2025</v>
      </c>
      <c r="C32" t="s">
        <v>890</v>
      </c>
      <c r="D32">
        <v>31</v>
      </c>
      <c r="E32" t="s">
        <v>891</v>
      </c>
      <c r="F32" t="s">
        <v>894</v>
      </c>
    </row>
    <row r="33" spans="1:6" x14ac:dyDescent="0.25">
      <c r="A33" s="1">
        <v>45689</v>
      </c>
      <c r="B33">
        <v>2025</v>
      </c>
      <c r="C33" t="s">
        <v>899</v>
      </c>
      <c r="D33">
        <v>1</v>
      </c>
      <c r="E33" t="s">
        <v>891</v>
      </c>
      <c r="F33" t="s">
        <v>895</v>
      </c>
    </row>
    <row r="34" spans="1:6" x14ac:dyDescent="0.25">
      <c r="A34" s="1">
        <v>45690</v>
      </c>
      <c r="B34">
        <v>2025</v>
      </c>
      <c r="C34" t="s">
        <v>899</v>
      </c>
      <c r="D34">
        <v>2</v>
      </c>
      <c r="E34" t="s">
        <v>891</v>
      </c>
      <c r="F34" t="s">
        <v>896</v>
      </c>
    </row>
    <row r="35" spans="1:6" x14ac:dyDescent="0.25">
      <c r="A35" s="1">
        <v>45691</v>
      </c>
      <c r="B35">
        <v>2025</v>
      </c>
      <c r="C35" t="s">
        <v>899</v>
      </c>
      <c r="D35">
        <v>3</v>
      </c>
      <c r="E35" t="s">
        <v>891</v>
      </c>
      <c r="F35" t="s">
        <v>897</v>
      </c>
    </row>
    <row r="36" spans="1:6" x14ac:dyDescent="0.25">
      <c r="A36" s="1">
        <v>45692</v>
      </c>
      <c r="B36">
        <v>2025</v>
      </c>
      <c r="C36" t="s">
        <v>899</v>
      </c>
      <c r="D36">
        <v>4</v>
      </c>
      <c r="E36" t="s">
        <v>891</v>
      </c>
      <c r="F36" t="s">
        <v>898</v>
      </c>
    </row>
    <row r="37" spans="1:6" x14ac:dyDescent="0.25">
      <c r="A37" s="1">
        <v>45693</v>
      </c>
      <c r="B37">
        <v>2025</v>
      </c>
      <c r="C37" t="s">
        <v>899</v>
      </c>
      <c r="D37">
        <v>5</v>
      </c>
      <c r="E37" t="s">
        <v>891</v>
      </c>
      <c r="F37" t="s">
        <v>892</v>
      </c>
    </row>
    <row r="38" spans="1:6" x14ac:dyDescent="0.25">
      <c r="A38" s="1">
        <v>45694</v>
      </c>
      <c r="B38">
        <v>2025</v>
      </c>
      <c r="C38" t="s">
        <v>899</v>
      </c>
      <c r="D38">
        <v>6</v>
      </c>
      <c r="E38" t="s">
        <v>891</v>
      </c>
      <c r="F38" t="s">
        <v>893</v>
      </c>
    </row>
    <row r="39" spans="1:6" x14ac:dyDescent="0.25">
      <c r="A39" s="1">
        <v>45695</v>
      </c>
      <c r="B39">
        <v>2025</v>
      </c>
      <c r="C39" t="s">
        <v>899</v>
      </c>
      <c r="D39">
        <v>7</v>
      </c>
      <c r="E39" t="s">
        <v>891</v>
      </c>
      <c r="F39" t="s">
        <v>894</v>
      </c>
    </row>
    <row r="40" spans="1:6" x14ac:dyDescent="0.25">
      <c r="A40" s="1">
        <v>45696</v>
      </c>
      <c r="B40">
        <v>2025</v>
      </c>
      <c r="C40" t="s">
        <v>899</v>
      </c>
      <c r="D40">
        <v>8</v>
      </c>
      <c r="E40" t="s">
        <v>891</v>
      </c>
      <c r="F40" t="s">
        <v>895</v>
      </c>
    </row>
    <row r="41" spans="1:6" x14ac:dyDescent="0.25">
      <c r="A41" s="1">
        <v>45697</v>
      </c>
      <c r="B41">
        <v>2025</v>
      </c>
      <c r="C41" t="s">
        <v>899</v>
      </c>
      <c r="D41">
        <v>9</v>
      </c>
      <c r="E41" t="s">
        <v>891</v>
      </c>
      <c r="F41" t="s">
        <v>896</v>
      </c>
    </row>
    <row r="42" spans="1:6" x14ac:dyDescent="0.25">
      <c r="A42" s="1">
        <v>45698</v>
      </c>
      <c r="B42">
        <v>2025</v>
      </c>
      <c r="C42" t="s">
        <v>899</v>
      </c>
      <c r="D42">
        <v>10</v>
      </c>
      <c r="E42" t="s">
        <v>891</v>
      </c>
      <c r="F42" t="s">
        <v>897</v>
      </c>
    </row>
    <row r="43" spans="1:6" x14ac:dyDescent="0.25">
      <c r="A43" s="1">
        <v>45699</v>
      </c>
      <c r="B43">
        <v>2025</v>
      </c>
      <c r="C43" t="s">
        <v>899</v>
      </c>
      <c r="D43">
        <v>11</v>
      </c>
      <c r="E43" t="s">
        <v>891</v>
      </c>
      <c r="F43" t="s">
        <v>898</v>
      </c>
    </row>
    <row r="44" spans="1:6" x14ac:dyDescent="0.25">
      <c r="A44" s="1">
        <v>45700</v>
      </c>
      <c r="B44">
        <v>2025</v>
      </c>
      <c r="C44" t="s">
        <v>899</v>
      </c>
      <c r="D44">
        <v>12</v>
      </c>
      <c r="E44" t="s">
        <v>891</v>
      </c>
      <c r="F44" t="s">
        <v>892</v>
      </c>
    </row>
    <row r="45" spans="1:6" x14ac:dyDescent="0.25">
      <c r="A45" s="1">
        <v>45701</v>
      </c>
      <c r="B45">
        <v>2025</v>
      </c>
      <c r="C45" t="s">
        <v>899</v>
      </c>
      <c r="D45">
        <v>13</v>
      </c>
      <c r="E45" t="s">
        <v>891</v>
      </c>
      <c r="F45" t="s">
        <v>893</v>
      </c>
    </row>
    <row r="46" spans="1:6" x14ac:dyDescent="0.25">
      <c r="A46" s="1">
        <v>45702</v>
      </c>
      <c r="B46">
        <v>2025</v>
      </c>
      <c r="C46" t="s">
        <v>899</v>
      </c>
      <c r="D46">
        <v>14</v>
      </c>
      <c r="E46" t="s">
        <v>891</v>
      </c>
      <c r="F46" t="s">
        <v>894</v>
      </c>
    </row>
    <row r="47" spans="1:6" x14ac:dyDescent="0.25">
      <c r="A47" s="1">
        <v>45703</v>
      </c>
      <c r="B47">
        <v>2025</v>
      </c>
      <c r="C47" t="s">
        <v>899</v>
      </c>
      <c r="D47">
        <v>15</v>
      </c>
      <c r="E47" t="s">
        <v>891</v>
      </c>
      <c r="F47" t="s">
        <v>895</v>
      </c>
    </row>
    <row r="48" spans="1:6" x14ac:dyDescent="0.25">
      <c r="A48" s="1">
        <v>45704</v>
      </c>
      <c r="B48">
        <v>2025</v>
      </c>
      <c r="C48" t="s">
        <v>899</v>
      </c>
      <c r="D48">
        <v>16</v>
      </c>
      <c r="E48" t="s">
        <v>891</v>
      </c>
      <c r="F48" t="s">
        <v>896</v>
      </c>
    </row>
    <row r="49" spans="1:6" x14ac:dyDescent="0.25">
      <c r="A49" s="1">
        <v>45705</v>
      </c>
      <c r="B49">
        <v>2025</v>
      </c>
      <c r="C49" t="s">
        <v>899</v>
      </c>
      <c r="D49">
        <v>17</v>
      </c>
      <c r="E49" t="s">
        <v>891</v>
      </c>
      <c r="F49" t="s">
        <v>897</v>
      </c>
    </row>
    <row r="50" spans="1:6" x14ac:dyDescent="0.25">
      <c r="A50" s="1">
        <v>45706</v>
      </c>
      <c r="B50">
        <v>2025</v>
      </c>
      <c r="C50" t="s">
        <v>899</v>
      </c>
      <c r="D50">
        <v>18</v>
      </c>
      <c r="E50" t="s">
        <v>891</v>
      </c>
      <c r="F50" t="s">
        <v>898</v>
      </c>
    </row>
    <row r="51" spans="1:6" x14ac:dyDescent="0.25">
      <c r="A51" s="1">
        <v>45707</v>
      </c>
      <c r="B51">
        <v>2025</v>
      </c>
      <c r="C51" t="s">
        <v>899</v>
      </c>
      <c r="D51">
        <v>19</v>
      </c>
      <c r="E51" t="s">
        <v>891</v>
      </c>
      <c r="F51" t="s">
        <v>892</v>
      </c>
    </row>
    <row r="52" spans="1:6" x14ac:dyDescent="0.25">
      <c r="A52" s="1">
        <v>45708</v>
      </c>
      <c r="B52">
        <v>2025</v>
      </c>
      <c r="C52" t="s">
        <v>899</v>
      </c>
      <c r="D52">
        <v>20</v>
      </c>
      <c r="E52" t="s">
        <v>891</v>
      </c>
      <c r="F52" t="s">
        <v>893</v>
      </c>
    </row>
    <row r="53" spans="1:6" x14ac:dyDescent="0.25">
      <c r="A53" s="1">
        <v>45709</v>
      </c>
      <c r="B53">
        <v>2025</v>
      </c>
      <c r="C53" t="s">
        <v>899</v>
      </c>
      <c r="D53">
        <v>21</v>
      </c>
      <c r="E53" t="s">
        <v>891</v>
      </c>
      <c r="F53" t="s">
        <v>894</v>
      </c>
    </row>
    <row r="54" spans="1:6" x14ac:dyDescent="0.25">
      <c r="A54" s="1">
        <v>45710</v>
      </c>
      <c r="B54">
        <v>2025</v>
      </c>
      <c r="C54" t="s">
        <v>899</v>
      </c>
      <c r="D54">
        <v>22</v>
      </c>
      <c r="E54" t="s">
        <v>891</v>
      </c>
      <c r="F54" t="s">
        <v>895</v>
      </c>
    </row>
    <row r="55" spans="1:6" x14ac:dyDescent="0.25">
      <c r="A55" s="1">
        <v>45711</v>
      </c>
      <c r="B55">
        <v>2025</v>
      </c>
      <c r="C55" t="s">
        <v>899</v>
      </c>
      <c r="D55">
        <v>23</v>
      </c>
      <c r="E55" t="s">
        <v>891</v>
      </c>
      <c r="F55" t="s">
        <v>896</v>
      </c>
    </row>
    <row r="56" spans="1:6" x14ac:dyDescent="0.25">
      <c r="A56" s="1">
        <v>45712</v>
      </c>
      <c r="B56">
        <v>2025</v>
      </c>
      <c r="C56" t="s">
        <v>899</v>
      </c>
      <c r="D56">
        <v>24</v>
      </c>
      <c r="E56" t="s">
        <v>891</v>
      </c>
      <c r="F56" t="s">
        <v>897</v>
      </c>
    </row>
    <row r="57" spans="1:6" x14ac:dyDescent="0.25">
      <c r="A57" s="1">
        <v>45713</v>
      </c>
      <c r="B57">
        <v>2025</v>
      </c>
      <c r="C57" t="s">
        <v>899</v>
      </c>
      <c r="D57">
        <v>25</v>
      </c>
      <c r="E57" t="s">
        <v>891</v>
      </c>
      <c r="F57" t="s">
        <v>898</v>
      </c>
    </row>
    <row r="58" spans="1:6" x14ac:dyDescent="0.25">
      <c r="A58" s="1">
        <v>45714</v>
      </c>
      <c r="B58">
        <v>2025</v>
      </c>
      <c r="C58" t="s">
        <v>899</v>
      </c>
      <c r="D58">
        <v>26</v>
      </c>
      <c r="E58" t="s">
        <v>891</v>
      </c>
      <c r="F58" t="s">
        <v>892</v>
      </c>
    </row>
    <row r="59" spans="1:6" x14ac:dyDescent="0.25">
      <c r="A59" s="1">
        <v>45715</v>
      </c>
      <c r="B59">
        <v>2025</v>
      </c>
      <c r="C59" t="s">
        <v>899</v>
      </c>
      <c r="D59">
        <v>27</v>
      </c>
      <c r="E59" t="s">
        <v>891</v>
      </c>
      <c r="F59" t="s">
        <v>893</v>
      </c>
    </row>
    <row r="60" spans="1:6" x14ac:dyDescent="0.25">
      <c r="A60" s="1">
        <v>45716</v>
      </c>
      <c r="B60">
        <v>2025</v>
      </c>
      <c r="C60" t="s">
        <v>899</v>
      </c>
      <c r="D60">
        <v>28</v>
      </c>
      <c r="E60" t="s">
        <v>891</v>
      </c>
      <c r="F60" t="s">
        <v>894</v>
      </c>
    </row>
    <row r="61" spans="1:6" x14ac:dyDescent="0.25">
      <c r="A61" s="1">
        <v>45717</v>
      </c>
      <c r="B61">
        <v>2025</v>
      </c>
      <c r="C61" t="s">
        <v>900</v>
      </c>
      <c r="D61">
        <v>1</v>
      </c>
      <c r="E61" t="s">
        <v>891</v>
      </c>
      <c r="F61" t="s">
        <v>895</v>
      </c>
    </row>
    <row r="62" spans="1:6" x14ac:dyDescent="0.25">
      <c r="A62" s="1">
        <v>45718</v>
      </c>
      <c r="B62">
        <v>2025</v>
      </c>
      <c r="C62" t="s">
        <v>900</v>
      </c>
      <c r="D62">
        <v>2</v>
      </c>
      <c r="E62" t="s">
        <v>891</v>
      </c>
      <c r="F62" t="s">
        <v>896</v>
      </c>
    </row>
    <row r="63" spans="1:6" x14ac:dyDescent="0.25">
      <c r="A63" s="1">
        <v>45719</v>
      </c>
      <c r="B63">
        <v>2025</v>
      </c>
      <c r="C63" t="s">
        <v>900</v>
      </c>
      <c r="D63">
        <v>3</v>
      </c>
      <c r="E63" t="s">
        <v>891</v>
      </c>
      <c r="F63" t="s">
        <v>897</v>
      </c>
    </row>
    <row r="64" spans="1:6" x14ac:dyDescent="0.25">
      <c r="A64" s="1">
        <v>45720</v>
      </c>
      <c r="B64">
        <v>2025</v>
      </c>
      <c r="C64" t="s">
        <v>900</v>
      </c>
      <c r="D64">
        <v>4</v>
      </c>
      <c r="E64" t="s">
        <v>891</v>
      </c>
      <c r="F64" t="s">
        <v>898</v>
      </c>
    </row>
    <row r="65" spans="1:6" x14ac:dyDescent="0.25">
      <c r="A65" s="1">
        <v>45721</v>
      </c>
      <c r="B65">
        <v>2025</v>
      </c>
      <c r="C65" t="s">
        <v>900</v>
      </c>
      <c r="D65">
        <v>5</v>
      </c>
      <c r="E65" t="s">
        <v>891</v>
      </c>
      <c r="F65" t="s">
        <v>892</v>
      </c>
    </row>
    <row r="66" spans="1:6" x14ac:dyDescent="0.25">
      <c r="A66" s="1">
        <v>45722</v>
      </c>
      <c r="B66">
        <v>2025</v>
      </c>
      <c r="C66" t="s">
        <v>900</v>
      </c>
      <c r="D66">
        <v>6</v>
      </c>
      <c r="E66" t="s">
        <v>891</v>
      </c>
      <c r="F66" t="s">
        <v>893</v>
      </c>
    </row>
    <row r="67" spans="1:6" x14ac:dyDescent="0.25">
      <c r="A67" s="1">
        <v>45723</v>
      </c>
      <c r="B67">
        <v>2025</v>
      </c>
      <c r="C67" t="s">
        <v>900</v>
      </c>
      <c r="D67">
        <v>7</v>
      </c>
      <c r="E67" t="s">
        <v>891</v>
      </c>
      <c r="F67" t="s">
        <v>894</v>
      </c>
    </row>
    <row r="68" spans="1:6" x14ac:dyDescent="0.25">
      <c r="A68" s="1">
        <v>45724</v>
      </c>
      <c r="B68">
        <v>2025</v>
      </c>
      <c r="C68" t="s">
        <v>900</v>
      </c>
      <c r="D68">
        <v>8</v>
      </c>
      <c r="E68" t="s">
        <v>891</v>
      </c>
      <c r="F68" t="s">
        <v>895</v>
      </c>
    </row>
    <row r="69" spans="1:6" x14ac:dyDescent="0.25">
      <c r="A69" s="1">
        <v>45725</v>
      </c>
      <c r="B69">
        <v>2025</v>
      </c>
      <c r="C69" t="s">
        <v>900</v>
      </c>
      <c r="D69">
        <v>9</v>
      </c>
      <c r="E69" t="s">
        <v>891</v>
      </c>
      <c r="F69" t="s">
        <v>896</v>
      </c>
    </row>
    <row r="70" spans="1:6" x14ac:dyDescent="0.25">
      <c r="A70" s="1">
        <v>45726</v>
      </c>
      <c r="B70">
        <v>2025</v>
      </c>
      <c r="C70" t="s">
        <v>900</v>
      </c>
      <c r="D70">
        <v>10</v>
      </c>
      <c r="E70" t="s">
        <v>891</v>
      </c>
      <c r="F70" t="s">
        <v>897</v>
      </c>
    </row>
    <row r="71" spans="1:6" x14ac:dyDescent="0.25">
      <c r="A71" s="1">
        <v>45727</v>
      </c>
      <c r="B71">
        <v>2025</v>
      </c>
      <c r="C71" t="s">
        <v>900</v>
      </c>
      <c r="D71">
        <v>11</v>
      </c>
      <c r="E71" t="s">
        <v>891</v>
      </c>
      <c r="F71" t="s">
        <v>898</v>
      </c>
    </row>
    <row r="72" spans="1:6" x14ac:dyDescent="0.25">
      <c r="A72" s="1">
        <v>45728</v>
      </c>
      <c r="B72">
        <v>2025</v>
      </c>
      <c r="C72" t="s">
        <v>900</v>
      </c>
      <c r="D72">
        <v>12</v>
      </c>
      <c r="E72" t="s">
        <v>891</v>
      </c>
      <c r="F72" t="s">
        <v>892</v>
      </c>
    </row>
    <row r="73" spans="1:6" x14ac:dyDescent="0.25">
      <c r="A73" s="1">
        <v>45729</v>
      </c>
      <c r="B73">
        <v>2025</v>
      </c>
      <c r="C73" t="s">
        <v>900</v>
      </c>
      <c r="D73">
        <v>13</v>
      </c>
      <c r="E73" t="s">
        <v>891</v>
      </c>
      <c r="F73" t="s">
        <v>893</v>
      </c>
    </row>
    <row r="74" spans="1:6" x14ac:dyDescent="0.25">
      <c r="A74" s="1">
        <v>45730</v>
      </c>
      <c r="B74">
        <v>2025</v>
      </c>
      <c r="C74" t="s">
        <v>900</v>
      </c>
      <c r="D74">
        <v>14</v>
      </c>
      <c r="E74" t="s">
        <v>891</v>
      </c>
      <c r="F74" t="s">
        <v>894</v>
      </c>
    </row>
    <row r="75" spans="1:6" x14ac:dyDescent="0.25">
      <c r="A75" s="1">
        <v>45731</v>
      </c>
      <c r="B75">
        <v>2025</v>
      </c>
      <c r="C75" t="s">
        <v>900</v>
      </c>
      <c r="D75">
        <v>15</v>
      </c>
      <c r="E75" t="s">
        <v>891</v>
      </c>
      <c r="F75" t="s">
        <v>895</v>
      </c>
    </row>
    <row r="76" spans="1:6" x14ac:dyDescent="0.25">
      <c r="A76" s="1">
        <v>45732</v>
      </c>
      <c r="B76">
        <v>2025</v>
      </c>
      <c r="C76" t="s">
        <v>900</v>
      </c>
      <c r="D76">
        <v>16</v>
      </c>
      <c r="E76" t="s">
        <v>891</v>
      </c>
      <c r="F76" t="s">
        <v>896</v>
      </c>
    </row>
    <row r="77" spans="1:6" x14ac:dyDescent="0.25">
      <c r="A77" s="1">
        <v>45733</v>
      </c>
      <c r="B77">
        <v>2025</v>
      </c>
      <c r="C77" t="s">
        <v>900</v>
      </c>
      <c r="D77">
        <v>17</v>
      </c>
      <c r="E77" t="s">
        <v>891</v>
      </c>
      <c r="F77" t="s">
        <v>897</v>
      </c>
    </row>
    <row r="78" spans="1:6" x14ac:dyDescent="0.25">
      <c r="A78" s="1">
        <v>45734</v>
      </c>
      <c r="B78">
        <v>2025</v>
      </c>
      <c r="C78" t="s">
        <v>900</v>
      </c>
      <c r="D78">
        <v>18</v>
      </c>
      <c r="E78" t="s">
        <v>891</v>
      </c>
      <c r="F78" t="s">
        <v>898</v>
      </c>
    </row>
    <row r="79" spans="1:6" x14ac:dyDescent="0.25">
      <c r="A79" s="1">
        <v>45735</v>
      </c>
      <c r="B79">
        <v>2025</v>
      </c>
      <c r="C79" t="s">
        <v>900</v>
      </c>
      <c r="D79">
        <v>19</v>
      </c>
      <c r="E79" t="s">
        <v>891</v>
      </c>
      <c r="F79" t="s">
        <v>892</v>
      </c>
    </row>
    <row r="80" spans="1:6" x14ac:dyDescent="0.25">
      <c r="A80" s="1">
        <v>45736</v>
      </c>
      <c r="B80">
        <v>2025</v>
      </c>
      <c r="C80" t="s">
        <v>900</v>
      </c>
      <c r="D80">
        <v>20</v>
      </c>
      <c r="E80" t="s">
        <v>891</v>
      </c>
      <c r="F80" t="s">
        <v>893</v>
      </c>
    </row>
    <row r="81" spans="1:6" x14ac:dyDescent="0.25">
      <c r="A81" s="1">
        <v>45737</v>
      </c>
      <c r="B81">
        <v>2025</v>
      </c>
      <c r="C81" t="s">
        <v>900</v>
      </c>
      <c r="D81">
        <v>21</v>
      </c>
      <c r="E81" t="s">
        <v>891</v>
      </c>
      <c r="F81" t="s">
        <v>894</v>
      </c>
    </row>
    <row r="82" spans="1:6" x14ac:dyDescent="0.25">
      <c r="A82" s="1">
        <v>45738</v>
      </c>
      <c r="B82">
        <v>2025</v>
      </c>
      <c r="C82" t="s">
        <v>900</v>
      </c>
      <c r="D82">
        <v>22</v>
      </c>
      <c r="E82" t="s">
        <v>891</v>
      </c>
      <c r="F82" t="s">
        <v>895</v>
      </c>
    </row>
    <row r="83" spans="1:6" x14ac:dyDescent="0.25">
      <c r="A83" s="1">
        <v>45739</v>
      </c>
      <c r="B83">
        <v>2025</v>
      </c>
      <c r="C83" t="s">
        <v>900</v>
      </c>
      <c r="D83">
        <v>23</v>
      </c>
      <c r="E83" t="s">
        <v>891</v>
      </c>
      <c r="F83" t="s">
        <v>896</v>
      </c>
    </row>
    <row r="84" spans="1:6" x14ac:dyDescent="0.25">
      <c r="A84" s="1">
        <v>45740</v>
      </c>
      <c r="B84">
        <v>2025</v>
      </c>
      <c r="C84" t="s">
        <v>900</v>
      </c>
      <c r="D84">
        <v>24</v>
      </c>
      <c r="E84" t="s">
        <v>891</v>
      </c>
      <c r="F84" t="s">
        <v>897</v>
      </c>
    </row>
    <row r="85" spans="1:6" x14ac:dyDescent="0.25">
      <c r="A85" s="1">
        <v>45741</v>
      </c>
      <c r="B85">
        <v>2025</v>
      </c>
      <c r="C85" t="s">
        <v>900</v>
      </c>
      <c r="D85">
        <v>25</v>
      </c>
      <c r="E85" t="s">
        <v>891</v>
      </c>
      <c r="F85" t="s">
        <v>898</v>
      </c>
    </row>
    <row r="86" spans="1:6" x14ac:dyDescent="0.25">
      <c r="A86" s="1">
        <v>45742</v>
      </c>
      <c r="B86">
        <v>2025</v>
      </c>
      <c r="C86" t="s">
        <v>900</v>
      </c>
      <c r="D86">
        <v>26</v>
      </c>
      <c r="E86" t="s">
        <v>891</v>
      </c>
      <c r="F86" t="s">
        <v>892</v>
      </c>
    </row>
    <row r="87" spans="1:6" x14ac:dyDescent="0.25">
      <c r="A87" s="1">
        <v>45743</v>
      </c>
      <c r="B87">
        <v>2025</v>
      </c>
      <c r="C87" t="s">
        <v>900</v>
      </c>
      <c r="D87">
        <v>27</v>
      </c>
      <c r="E87" t="s">
        <v>891</v>
      </c>
      <c r="F87" t="s">
        <v>893</v>
      </c>
    </row>
    <row r="88" spans="1:6" x14ac:dyDescent="0.25">
      <c r="A88" s="1">
        <v>45744</v>
      </c>
      <c r="B88">
        <v>2025</v>
      </c>
      <c r="C88" t="s">
        <v>900</v>
      </c>
      <c r="D88">
        <v>28</v>
      </c>
      <c r="E88" t="s">
        <v>891</v>
      </c>
      <c r="F88" t="s">
        <v>894</v>
      </c>
    </row>
    <row r="89" spans="1:6" x14ac:dyDescent="0.25">
      <c r="A89" s="1">
        <v>45745</v>
      </c>
      <c r="B89">
        <v>2025</v>
      </c>
      <c r="C89" t="s">
        <v>900</v>
      </c>
      <c r="D89">
        <v>29</v>
      </c>
      <c r="E89" t="s">
        <v>891</v>
      </c>
      <c r="F89" t="s">
        <v>895</v>
      </c>
    </row>
    <row r="90" spans="1:6" x14ac:dyDescent="0.25">
      <c r="A90" s="1">
        <v>45746</v>
      </c>
      <c r="B90">
        <v>2025</v>
      </c>
      <c r="C90" t="s">
        <v>900</v>
      </c>
      <c r="D90">
        <v>30</v>
      </c>
      <c r="E90" t="s">
        <v>891</v>
      </c>
      <c r="F90" t="s">
        <v>896</v>
      </c>
    </row>
    <row r="91" spans="1:6" x14ac:dyDescent="0.25">
      <c r="A91" s="1">
        <v>45747</v>
      </c>
      <c r="B91">
        <v>2025</v>
      </c>
      <c r="C91" t="s">
        <v>900</v>
      </c>
      <c r="D91">
        <v>31</v>
      </c>
      <c r="E91" t="s">
        <v>891</v>
      </c>
      <c r="F91" t="s">
        <v>897</v>
      </c>
    </row>
    <row r="92" spans="1:6" x14ac:dyDescent="0.25">
      <c r="A92" s="1">
        <v>45748</v>
      </c>
      <c r="B92">
        <v>2025</v>
      </c>
      <c r="C92" t="s">
        <v>901</v>
      </c>
      <c r="D92">
        <v>1</v>
      </c>
      <c r="E92" t="s">
        <v>902</v>
      </c>
      <c r="F92" t="s">
        <v>898</v>
      </c>
    </row>
    <row r="93" spans="1:6" x14ac:dyDescent="0.25">
      <c r="A93" s="1">
        <v>45749</v>
      </c>
      <c r="B93">
        <v>2025</v>
      </c>
      <c r="C93" t="s">
        <v>901</v>
      </c>
      <c r="D93">
        <v>2</v>
      </c>
      <c r="E93" t="s">
        <v>902</v>
      </c>
      <c r="F93" t="s">
        <v>892</v>
      </c>
    </row>
    <row r="94" spans="1:6" x14ac:dyDescent="0.25">
      <c r="A94" s="1">
        <v>45750</v>
      </c>
      <c r="B94">
        <v>2025</v>
      </c>
      <c r="C94" t="s">
        <v>901</v>
      </c>
      <c r="D94">
        <v>3</v>
      </c>
      <c r="E94" t="s">
        <v>902</v>
      </c>
      <c r="F94" t="s">
        <v>893</v>
      </c>
    </row>
    <row r="95" spans="1:6" x14ac:dyDescent="0.25">
      <c r="A95" s="1">
        <v>45751</v>
      </c>
      <c r="B95">
        <v>2025</v>
      </c>
      <c r="C95" t="s">
        <v>901</v>
      </c>
      <c r="D95">
        <v>4</v>
      </c>
      <c r="E95" t="s">
        <v>902</v>
      </c>
      <c r="F95" t="s">
        <v>894</v>
      </c>
    </row>
    <row r="96" spans="1:6" x14ac:dyDescent="0.25">
      <c r="A96" s="1">
        <v>45752</v>
      </c>
      <c r="B96">
        <v>2025</v>
      </c>
      <c r="C96" t="s">
        <v>901</v>
      </c>
      <c r="D96">
        <v>5</v>
      </c>
      <c r="E96" t="s">
        <v>902</v>
      </c>
      <c r="F96" t="s">
        <v>895</v>
      </c>
    </row>
    <row r="97" spans="1:6" x14ac:dyDescent="0.25">
      <c r="A97" s="1">
        <v>45753</v>
      </c>
      <c r="B97">
        <v>2025</v>
      </c>
      <c r="C97" t="s">
        <v>901</v>
      </c>
      <c r="D97">
        <v>6</v>
      </c>
      <c r="E97" t="s">
        <v>902</v>
      </c>
      <c r="F97" t="s">
        <v>896</v>
      </c>
    </row>
    <row r="98" spans="1:6" x14ac:dyDescent="0.25">
      <c r="A98" s="1">
        <v>45754</v>
      </c>
      <c r="B98">
        <v>2025</v>
      </c>
      <c r="C98" t="s">
        <v>901</v>
      </c>
      <c r="D98">
        <v>7</v>
      </c>
      <c r="E98" t="s">
        <v>902</v>
      </c>
      <c r="F98" t="s">
        <v>897</v>
      </c>
    </row>
    <row r="99" spans="1:6" x14ac:dyDescent="0.25">
      <c r="A99" s="1">
        <v>45755</v>
      </c>
      <c r="B99">
        <v>2025</v>
      </c>
      <c r="C99" t="s">
        <v>901</v>
      </c>
      <c r="D99">
        <v>8</v>
      </c>
      <c r="E99" t="s">
        <v>902</v>
      </c>
      <c r="F99" t="s">
        <v>898</v>
      </c>
    </row>
    <row r="100" spans="1:6" x14ac:dyDescent="0.25">
      <c r="A100" s="1">
        <v>45756</v>
      </c>
      <c r="B100">
        <v>2025</v>
      </c>
      <c r="C100" t="s">
        <v>901</v>
      </c>
      <c r="D100">
        <v>9</v>
      </c>
      <c r="E100" t="s">
        <v>902</v>
      </c>
      <c r="F100" t="s">
        <v>892</v>
      </c>
    </row>
    <row r="101" spans="1:6" x14ac:dyDescent="0.25">
      <c r="A101" s="1">
        <v>45757</v>
      </c>
      <c r="B101">
        <v>2025</v>
      </c>
      <c r="C101" t="s">
        <v>901</v>
      </c>
      <c r="D101">
        <v>10</v>
      </c>
      <c r="E101" t="s">
        <v>902</v>
      </c>
      <c r="F101" t="s">
        <v>893</v>
      </c>
    </row>
    <row r="102" spans="1:6" x14ac:dyDescent="0.25">
      <c r="A102" s="1">
        <v>45758</v>
      </c>
      <c r="B102">
        <v>2025</v>
      </c>
      <c r="C102" t="s">
        <v>901</v>
      </c>
      <c r="D102">
        <v>11</v>
      </c>
      <c r="E102" t="s">
        <v>902</v>
      </c>
      <c r="F102" t="s">
        <v>894</v>
      </c>
    </row>
    <row r="103" spans="1:6" x14ac:dyDescent="0.25">
      <c r="A103" s="1">
        <v>45759</v>
      </c>
      <c r="B103">
        <v>2025</v>
      </c>
      <c r="C103" t="s">
        <v>901</v>
      </c>
      <c r="D103">
        <v>12</v>
      </c>
      <c r="E103" t="s">
        <v>902</v>
      </c>
      <c r="F103" t="s">
        <v>895</v>
      </c>
    </row>
    <row r="104" spans="1:6" x14ac:dyDescent="0.25">
      <c r="A104" s="1">
        <v>45760</v>
      </c>
      <c r="B104">
        <v>2025</v>
      </c>
      <c r="C104" t="s">
        <v>901</v>
      </c>
      <c r="D104">
        <v>13</v>
      </c>
      <c r="E104" t="s">
        <v>902</v>
      </c>
      <c r="F104" t="s">
        <v>896</v>
      </c>
    </row>
    <row r="105" spans="1:6" x14ac:dyDescent="0.25">
      <c r="A105" s="1">
        <v>45761</v>
      </c>
      <c r="B105">
        <v>2025</v>
      </c>
      <c r="C105" t="s">
        <v>901</v>
      </c>
      <c r="D105">
        <v>14</v>
      </c>
      <c r="E105" t="s">
        <v>902</v>
      </c>
      <c r="F105" t="s">
        <v>897</v>
      </c>
    </row>
    <row r="106" spans="1:6" x14ac:dyDescent="0.25">
      <c r="A106" s="1">
        <v>45762</v>
      </c>
      <c r="B106">
        <v>2025</v>
      </c>
      <c r="C106" t="s">
        <v>901</v>
      </c>
      <c r="D106">
        <v>15</v>
      </c>
      <c r="E106" t="s">
        <v>902</v>
      </c>
      <c r="F106" t="s">
        <v>898</v>
      </c>
    </row>
    <row r="107" spans="1:6" x14ac:dyDescent="0.25">
      <c r="A107" s="1">
        <v>45763</v>
      </c>
      <c r="B107">
        <v>2025</v>
      </c>
      <c r="C107" t="s">
        <v>901</v>
      </c>
      <c r="D107">
        <v>16</v>
      </c>
      <c r="E107" t="s">
        <v>902</v>
      </c>
      <c r="F107" t="s">
        <v>892</v>
      </c>
    </row>
    <row r="108" spans="1:6" x14ac:dyDescent="0.25">
      <c r="A108" s="1">
        <v>45764</v>
      </c>
      <c r="B108">
        <v>2025</v>
      </c>
      <c r="C108" t="s">
        <v>901</v>
      </c>
      <c r="D108">
        <v>17</v>
      </c>
      <c r="E108" t="s">
        <v>902</v>
      </c>
      <c r="F108" t="s">
        <v>893</v>
      </c>
    </row>
    <row r="109" spans="1:6" x14ac:dyDescent="0.25">
      <c r="A109" s="1">
        <v>45765</v>
      </c>
      <c r="B109">
        <v>2025</v>
      </c>
      <c r="C109" t="s">
        <v>901</v>
      </c>
      <c r="D109">
        <v>18</v>
      </c>
      <c r="E109" t="s">
        <v>902</v>
      </c>
      <c r="F109" t="s">
        <v>894</v>
      </c>
    </row>
    <row r="110" spans="1:6" x14ac:dyDescent="0.25">
      <c r="A110" s="1">
        <v>45766</v>
      </c>
      <c r="B110">
        <v>2025</v>
      </c>
      <c r="C110" t="s">
        <v>901</v>
      </c>
      <c r="D110">
        <v>19</v>
      </c>
      <c r="E110" t="s">
        <v>902</v>
      </c>
      <c r="F110" t="s">
        <v>895</v>
      </c>
    </row>
    <row r="111" spans="1:6" x14ac:dyDescent="0.25">
      <c r="A111" s="1">
        <v>45767</v>
      </c>
      <c r="B111">
        <v>2025</v>
      </c>
      <c r="C111" t="s">
        <v>901</v>
      </c>
      <c r="D111">
        <v>20</v>
      </c>
      <c r="E111" t="s">
        <v>902</v>
      </c>
      <c r="F111" t="s">
        <v>896</v>
      </c>
    </row>
    <row r="112" spans="1:6" x14ac:dyDescent="0.25">
      <c r="A112" s="1">
        <v>45768</v>
      </c>
      <c r="B112">
        <v>2025</v>
      </c>
      <c r="C112" t="s">
        <v>901</v>
      </c>
      <c r="D112">
        <v>21</v>
      </c>
      <c r="E112" t="s">
        <v>902</v>
      </c>
      <c r="F112" t="s">
        <v>897</v>
      </c>
    </row>
    <row r="113" spans="1:6" x14ac:dyDescent="0.25">
      <c r="A113" s="1">
        <v>45769</v>
      </c>
      <c r="B113">
        <v>2025</v>
      </c>
      <c r="C113" t="s">
        <v>901</v>
      </c>
      <c r="D113">
        <v>22</v>
      </c>
      <c r="E113" t="s">
        <v>902</v>
      </c>
      <c r="F113" t="s">
        <v>898</v>
      </c>
    </row>
    <row r="114" spans="1:6" x14ac:dyDescent="0.25">
      <c r="A114" s="1">
        <v>45770</v>
      </c>
      <c r="B114">
        <v>2025</v>
      </c>
      <c r="C114" t="s">
        <v>901</v>
      </c>
      <c r="D114">
        <v>23</v>
      </c>
      <c r="E114" t="s">
        <v>902</v>
      </c>
      <c r="F114" t="s">
        <v>892</v>
      </c>
    </row>
    <row r="115" spans="1:6" x14ac:dyDescent="0.25">
      <c r="A115" s="1">
        <v>45771</v>
      </c>
      <c r="B115">
        <v>2025</v>
      </c>
      <c r="C115" t="s">
        <v>901</v>
      </c>
      <c r="D115">
        <v>24</v>
      </c>
      <c r="E115" t="s">
        <v>902</v>
      </c>
      <c r="F115" t="s">
        <v>893</v>
      </c>
    </row>
    <row r="116" spans="1:6" x14ac:dyDescent="0.25">
      <c r="A116" s="1">
        <v>45772</v>
      </c>
      <c r="B116">
        <v>2025</v>
      </c>
      <c r="C116" t="s">
        <v>901</v>
      </c>
      <c r="D116">
        <v>25</v>
      </c>
      <c r="E116" t="s">
        <v>902</v>
      </c>
      <c r="F116" t="s">
        <v>894</v>
      </c>
    </row>
    <row r="117" spans="1:6" x14ac:dyDescent="0.25">
      <c r="A117" s="1">
        <v>45773</v>
      </c>
      <c r="B117">
        <v>2025</v>
      </c>
      <c r="C117" t="s">
        <v>901</v>
      </c>
      <c r="D117">
        <v>26</v>
      </c>
      <c r="E117" t="s">
        <v>902</v>
      </c>
      <c r="F117" t="s">
        <v>895</v>
      </c>
    </row>
    <row r="118" spans="1:6" x14ac:dyDescent="0.25">
      <c r="A118" s="1">
        <v>45774</v>
      </c>
      <c r="B118">
        <v>2025</v>
      </c>
      <c r="C118" t="s">
        <v>901</v>
      </c>
      <c r="D118">
        <v>27</v>
      </c>
      <c r="E118" t="s">
        <v>902</v>
      </c>
      <c r="F118" t="s">
        <v>896</v>
      </c>
    </row>
    <row r="119" spans="1:6" x14ac:dyDescent="0.25">
      <c r="A119" s="1">
        <v>45775</v>
      </c>
      <c r="B119">
        <v>2025</v>
      </c>
      <c r="C119" t="s">
        <v>901</v>
      </c>
      <c r="D119">
        <v>28</v>
      </c>
      <c r="E119" t="s">
        <v>902</v>
      </c>
      <c r="F119" t="s">
        <v>897</v>
      </c>
    </row>
    <row r="120" spans="1:6" x14ac:dyDescent="0.25">
      <c r="A120" s="1">
        <v>45776</v>
      </c>
      <c r="B120">
        <v>2025</v>
      </c>
      <c r="C120" t="s">
        <v>901</v>
      </c>
      <c r="D120">
        <v>29</v>
      </c>
      <c r="E120" t="s">
        <v>902</v>
      </c>
      <c r="F120" t="s">
        <v>898</v>
      </c>
    </row>
    <row r="121" spans="1:6" x14ac:dyDescent="0.25">
      <c r="A121" s="1">
        <v>45777</v>
      </c>
      <c r="B121">
        <v>2025</v>
      </c>
      <c r="C121" t="s">
        <v>901</v>
      </c>
      <c r="D121">
        <v>30</v>
      </c>
      <c r="E121" t="s">
        <v>902</v>
      </c>
      <c r="F121" t="s">
        <v>892</v>
      </c>
    </row>
    <row r="122" spans="1:6" x14ac:dyDescent="0.25">
      <c r="A122" s="1">
        <v>45778</v>
      </c>
      <c r="B122">
        <v>2025</v>
      </c>
      <c r="C122" t="s">
        <v>903</v>
      </c>
      <c r="D122">
        <v>1</v>
      </c>
      <c r="E122" t="s">
        <v>902</v>
      </c>
      <c r="F122" t="s">
        <v>893</v>
      </c>
    </row>
    <row r="123" spans="1:6" x14ac:dyDescent="0.25">
      <c r="A123" s="1">
        <v>45779</v>
      </c>
      <c r="B123">
        <v>2025</v>
      </c>
      <c r="C123" t="s">
        <v>903</v>
      </c>
      <c r="D123">
        <v>2</v>
      </c>
      <c r="E123" t="s">
        <v>902</v>
      </c>
      <c r="F123" t="s">
        <v>894</v>
      </c>
    </row>
    <row r="124" spans="1:6" x14ac:dyDescent="0.25">
      <c r="A124" s="1">
        <v>45780</v>
      </c>
      <c r="B124">
        <v>2025</v>
      </c>
      <c r="C124" t="s">
        <v>903</v>
      </c>
      <c r="D124">
        <v>3</v>
      </c>
      <c r="E124" t="s">
        <v>902</v>
      </c>
      <c r="F124" t="s">
        <v>895</v>
      </c>
    </row>
    <row r="125" spans="1:6" x14ac:dyDescent="0.25">
      <c r="A125" s="1">
        <v>45781</v>
      </c>
      <c r="B125">
        <v>2025</v>
      </c>
      <c r="C125" t="s">
        <v>903</v>
      </c>
      <c r="D125">
        <v>4</v>
      </c>
      <c r="E125" t="s">
        <v>902</v>
      </c>
      <c r="F125" t="s">
        <v>896</v>
      </c>
    </row>
    <row r="126" spans="1:6" x14ac:dyDescent="0.25">
      <c r="A126" s="1">
        <v>45782</v>
      </c>
      <c r="B126">
        <v>2025</v>
      </c>
      <c r="C126" t="s">
        <v>903</v>
      </c>
      <c r="D126">
        <v>5</v>
      </c>
      <c r="E126" t="s">
        <v>902</v>
      </c>
      <c r="F126" t="s">
        <v>897</v>
      </c>
    </row>
    <row r="127" spans="1:6" x14ac:dyDescent="0.25">
      <c r="A127" s="1">
        <v>45783</v>
      </c>
      <c r="B127">
        <v>2025</v>
      </c>
      <c r="C127" t="s">
        <v>903</v>
      </c>
      <c r="D127">
        <v>6</v>
      </c>
      <c r="E127" t="s">
        <v>902</v>
      </c>
      <c r="F127" t="s">
        <v>898</v>
      </c>
    </row>
    <row r="128" spans="1:6" x14ac:dyDescent="0.25">
      <c r="A128" s="1">
        <v>45784</v>
      </c>
      <c r="B128">
        <v>2025</v>
      </c>
      <c r="C128" t="s">
        <v>903</v>
      </c>
      <c r="D128">
        <v>7</v>
      </c>
      <c r="E128" t="s">
        <v>902</v>
      </c>
      <c r="F128" t="s">
        <v>892</v>
      </c>
    </row>
    <row r="129" spans="1:6" x14ac:dyDescent="0.25">
      <c r="A129" s="1">
        <v>45785</v>
      </c>
      <c r="B129">
        <v>2025</v>
      </c>
      <c r="C129" t="s">
        <v>903</v>
      </c>
      <c r="D129">
        <v>8</v>
      </c>
      <c r="E129" t="s">
        <v>902</v>
      </c>
      <c r="F129" t="s">
        <v>893</v>
      </c>
    </row>
    <row r="130" spans="1:6" x14ac:dyDescent="0.25">
      <c r="A130" s="1">
        <v>45786</v>
      </c>
      <c r="B130">
        <v>2025</v>
      </c>
      <c r="C130" t="s">
        <v>903</v>
      </c>
      <c r="D130">
        <v>9</v>
      </c>
      <c r="E130" t="s">
        <v>902</v>
      </c>
      <c r="F130" t="s">
        <v>894</v>
      </c>
    </row>
    <row r="131" spans="1:6" x14ac:dyDescent="0.25">
      <c r="A131" s="1">
        <v>45787</v>
      </c>
      <c r="B131">
        <v>2025</v>
      </c>
      <c r="C131" t="s">
        <v>903</v>
      </c>
      <c r="D131">
        <v>10</v>
      </c>
      <c r="E131" t="s">
        <v>902</v>
      </c>
      <c r="F131" t="s">
        <v>895</v>
      </c>
    </row>
    <row r="132" spans="1:6" x14ac:dyDescent="0.25">
      <c r="A132" s="1">
        <v>45788</v>
      </c>
      <c r="B132">
        <v>2025</v>
      </c>
      <c r="C132" t="s">
        <v>903</v>
      </c>
      <c r="D132">
        <v>11</v>
      </c>
      <c r="E132" t="s">
        <v>902</v>
      </c>
      <c r="F132" t="s">
        <v>896</v>
      </c>
    </row>
    <row r="133" spans="1:6" x14ac:dyDescent="0.25">
      <c r="A133" s="1">
        <v>45789</v>
      </c>
      <c r="B133">
        <v>2025</v>
      </c>
      <c r="C133" t="s">
        <v>903</v>
      </c>
      <c r="D133">
        <v>12</v>
      </c>
      <c r="E133" t="s">
        <v>902</v>
      </c>
      <c r="F133" t="s">
        <v>897</v>
      </c>
    </row>
    <row r="134" spans="1:6" x14ac:dyDescent="0.25">
      <c r="A134" s="1">
        <v>45790</v>
      </c>
      <c r="B134">
        <v>2025</v>
      </c>
      <c r="C134" t="s">
        <v>903</v>
      </c>
      <c r="D134">
        <v>13</v>
      </c>
      <c r="E134" t="s">
        <v>902</v>
      </c>
      <c r="F134" t="s">
        <v>898</v>
      </c>
    </row>
    <row r="135" spans="1:6" x14ac:dyDescent="0.25">
      <c r="A135" s="1">
        <v>45791</v>
      </c>
      <c r="B135">
        <v>2025</v>
      </c>
      <c r="C135" t="s">
        <v>903</v>
      </c>
      <c r="D135">
        <v>14</v>
      </c>
      <c r="E135" t="s">
        <v>902</v>
      </c>
      <c r="F135" t="s">
        <v>892</v>
      </c>
    </row>
    <row r="136" spans="1:6" x14ac:dyDescent="0.25">
      <c r="A136" s="1">
        <v>45792</v>
      </c>
      <c r="B136">
        <v>2025</v>
      </c>
      <c r="C136" t="s">
        <v>903</v>
      </c>
      <c r="D136">
        <v>15</v>
      </c>
      <c r="E136" t="s">
        <v>902</v>
      </c>
      <c r="F136" t="s">
        <v>893</v>
      </c>
    </row>
    <row r="137" spans="1:6" x14ac:dyDescent="0.25">
      <c r="A137" s="1">
        <v>45793</v>
      </c>
      <c r="B137">
        <v>2025</v>
      </c>
      <c r="C137" t="s">
        <v>903</v>
      </c>
      <c r="D137">
        <v>16</v>
      </c>
      <c r="E137" t="s">
        <v>902</v>
      </c>
      <c r="F137" t="s">
        <v>894</v>
      </c>
    </row>
    <row r="138" spans="1:6" x14ac:dyDescent="0.25">
      <c r="A138" s="1">
        <v>45794</v>
      </c>
      <c r="B138">
        <v>2025</v>
      </c>
      <c r="C138" t="s">
        <v>903</v>
      </c>
      <c r="D138">
        <v>17</v>
      </c>
      <c r="E138" t="s">
        <v>902</v>
      </c>
      <c r="F138" t="s">
        <v>895</v>
      </c>
    </row>
    <row r="139" spans="1:6" x14ac:dyDescent="0.25">
      <c r="A139" s="1">
        <v>45795</v>
      </c>
      <c r="B139">
        <v>2025</v>
      </c>
      <c r="C139" t="s">
        <v>903</v>
      </c>
      <c r="D139">
        <v>18</v>
      </c>
      <c r="E139" t="s">
        <v>902</v>
      </c>
      <c r="F139" t="s">
        <v>896</v>
      </c>
    </row>
    <row r="140" spans="1:6" x14ac:dyDescent="0.25">
      <c r="A140" s="1">
        <v>45796</v>
      </c>
      <c r="B140">
        <v>2025</v>
      </c>
      <c r="C140" t="s">
        <v>903</v>
      </c>
      <c r="D140">
        <v>19</v>
      </c>
      <c r="E140" t="s">
        <v>902</v>
      </c>
      <c r="F140" t="s">
        <v>897</v>
      </c>
    </row>
    <row r="141" spans="1:6" x14ac:dyDescent="0.25">
      <c r="A141" s="1">
        <v>45797</v>
      </c>
      <c r="B141">
        <v>2025</v>
      </c>
      <c r="C141" t="s">
        <v>903</v>
      </c>
      <c r="D141">
        <v>20</v>
      </c>
      <c r="E141" t="s">
        <v>902</v>
      </c>
      <c r="F141" t="s">
        <v>898</v>
      </c>
    </row>
    <row r="142" spans="1:6" x14ac:dyDescent="0.25">
      <c r="A142" s="1">
        <v>45798</v>
      </c>
      <c r="B142">
        <v>2025</v>
      </c>
      <c r="C142" t="s">
        <v>903</v>
      </c>
      <c r="D142">
        <v>21</v>
      </c>
      <c r="E142" t="s">
        <v>902</v>
      </c>
      <c r="F142" t="s">
        <v>892</v>
      </c>
    </row>
    <row r="143" spans="1:6" x14ac:dyDescent="0.25">
      <c r="A143" s="1">
        <v>45799</v>
      </c>
      <c r="B143">
        <v>2025</v>
      </c>
      <c r="C143" t="s">
        <v>903</v>
      </c>
      <c r="D143">
        <v>22</v>
      </c>
      <c r="E143" t="s">
        <v>902</v>
      </c>
      <c r="F143" t="s">
        <v>893</v>
      </c>
    </row>
    <row r="144" spans="1:6" x14ac:dyDescent="0.25">
      <c r="A144" s="1">
        <v>45800</v>
      </c>
      <c r="B144">
        <v>2025</v>
      </c>
      <c r="C144" t="s">
        <v>903</v>
      </c>
      <c r="D144">
        <v>23</v>
      </c>
      <c r="E144" t="s">
        <v>902</v>
      </c>
      <c r="F144" t="s">
        <v>894</v>
      </c>
    </row>
    <row r="145" spans="1:6" x14ac:dyDescent="0.25">
      <c r="A145" s="1">
        <v>45801</v>
      </c>
      <c r="B145">
        <v>2025</v>
      </c>
      <c r="C145" t="s">
        <v>903</v>
      </c>
      <c r="D145">
        <v>24</v>
      </c>
      <c r="E145" t="s">
        <v>902</v>
      </c>
      <c r="F145" t="s">
        <v>895</v>
      </c>
    </row>
    <row r="146" spans="1:6" x14ac:dyDescent="0.25">
      <c r="A146" s="1">
        <v>45802</v>
      </c>
      <c r="B146">
        <v>2025</v>
      </c>
      <c r="C146" t="s">
        <v>903</v>
      </c>
      <c r="D146">
        <v>25</v>
      </c>
      <c r="E146" t="s">
        <v>902</v>
      </c>
      <c r="F146" t="s">
        <v>896</v>
      </c>
    </row>
    <row r="147" spans="1:6" x14ac:dyDescent="0.25">
      <c r="A147" s="1">
        <v>45803</v>
      </c>
      <c r="B147">
        <v>2025</v>
      </c>
      <c r="C147" t="s">
        <v>903</v>
      </c>
      <c r="D147">
        <v>26</v>
      </c>
      <c r="E147" t="s">
        <v>902</v>
      </c>
      <c r="F147" t="s">
        <v>897</v>
      </c>
    </row>
    <row r="148" spans="1:6" x14ac:dyDescent="0.25">
      <c r="A148" s="1">
        <v>45804</v>
      </c>
      <c r="B148">
        <v>2025</v>
      </c>
      <c r="C148" t="s">
        <v>903</v>
      </c>
      <c r="D148">
        <v>27</v>
      </c>
      <c r="E148" t="s">
        <v>902</v>
      </c>
      <c r="F148" t="s">
        <v>898</v>
      </c>
    </row>
    <row r="149" spans="1:6" x14ac:dyDescent="0.25">
      <c r="A149" s="1">
        <v>45805</v>
      </c>
      <c r="B149">
        <v>2025</v>
      </c>
      <c r="C149" t="s">
        <v>903</v>
      </c>
      <c r="D149">
        <v>28</v>
      </c>
      <c r="E149" t="s">
        <v>902</v>
      </c>
      <c r="F149" t="s">
        <v>892</v>
      </c>
    </row>
    <row r="150" spans="1:6" x14ac:dyDescent="0.25">
      <c r="A150" s="1">
        <v>45806</v>
      </c>
      <c r="B150">
        <v>2025</v>
      </c>
      <c r="C150" t="s">
        <v>903</v>
      </c>
      <c r="D150">
        <v>29</v>
      </c>
      <c r="E150" t="s">
        <v>902</v>
      </c>
      <c r="F150" t="s">
        <v>893</v>
      </c>
    </row>
    <row r="151" spans="1:6" x14ac:dyDescent="0.25">
      <c r="A151" s="1">
        <v>45807</v>
      </c>
      <c r="B151">
        <v>2025</v>
      </c>
      <c r="C151" t="s">
        <v>903</v>
      </c>
      <c r="D151">
        <v>30</v>
      </c>
      <c r="E151" t="s">
        <v>902</v>
      </c>
      <c r="F151" t="s">
        <v>894</v>
      </c>
    </row>
    <row r="152" spans="1:6" x14ac:dyDescent="0.25">
      <c r="A152" s="1">
        <v>45808</v>
      </c>
      <c r="B152">
        <v>2025</v>
      </c>
      <c r="C152" t="s">
        <v>903</v>
      </c>
      <c r="D152">
        <v>31</v>
      </c>
      <c r="E152" t="s">
        <v>902</v>
      </c>
      <c r="F152" t="s">
        <v>895</v>
      </c>
    </row>
    <row r="153" spans="1:6" x14ac:dyDescent="0.25">
      <c r="A153" s="1">
        <v>45809</v>
      </c>
      <c r="B153">
        <v>2025</v>
      </c>
      <c r="C153" t="s">
        <v>904</v>
      </c>
      <c r="D153">
        <v>1</v>
      </c>
      <c r="E153" t="s">
        <v>902</v>
      </c>
      <c r="F153" t="s">
        <v>896</v>
      </c>
    </row>
    <row r="154" spans="1:6" x14ac:dyDescent="0.25">
      <c r="A154" s="1">
        <v>45810</v>
      </c>
      <c r="B154">
        <v>2025</v>
      </c>
      <c r="C154" t="s">
        <v>904</v>
      </c>
      <c r="D154">
        <v>2</v>
      </c>
      <c r="E154" t="s">
        <v>902</v>
      </c>
      <c r="F154" t="s">
        <v>897</v>
      </c>
    </row>
    <row r="155" spans="1:6" x14ac:dyDescent="0.25">
      <c r="A155" s="1">
        <v>45811</v>
      </c>
      <c r="B155">
        <v>2025</v>
      </c>
      <c r="C155" t="s">
        <v>904</v>
      </c>
      <c r="D155">
        <v>3</v>
      </c>
      <c r="E155" t="s">
        <v>902</v>
      </c>
      <c r="F155" t="s">
        <v>898</v>
      </c>
    </row>
    <row r="156" spans="1:6" x14ac:dyDescent="0.25">
      <c r="A156" s="1">
        <v>45812</v>
      </c>
      <c r="B156">
        <v>2025</v>
      </c>
      <c r="C156" t="s">
        <v>904</v>
      </c>
      <c r="D156">
        <v>4</v>
      </c>
      <c r="E156" t="s">
        <v>902</v>
      </c>
      <c r="F156" t="s">
        <v>892</v>
      </c>
    </row>
    <row r="157" spans="1:6" x14ac:dyDescent="0.25">
      <c r="A157" s="1">
        <v>45813</v>
      </c>
      <c r="B157">
        <v>2025</v>
      </c>
      <c r="C157" t="s">
        <v>904</v>
      </c>
      <c r="D157">
        <v>5</v>
      </c>
      <c r="E157" t="s">
        <v>902</v>
      </c>
      <c r="F157" t="s">
        <v>893</v>
      </c>
    </row>
    <row r="158" spans="1:6" x14ac:dyDescent="0.25">
      <c r="A158" s="1">
        <v>45814</v>
      </c>
      <c r="B158">
        <v>2025</v>
      </c>
      <c r="C158" t="s">
        <v>904</v>
      </c>
      <c r="D158">
        <v>6</v>
      </c>
      <c r="E158" t="s">
        <v>902</v>
      </c>
      <c r="F158" t="s">
        <v>894</v>
      </c>
    </row>
    <row r="159" spans="1:6" x14ac:dyDescent="0.25">
      <c r="A159" s="1">
        <v>45815</v>
      </c>
      <c r="B159">
        <v>2025</v>
      </c>
      <c r="C159" t="s">
        <v>904</v>
      </c>
      <c r="D159">
        <v>7</v>
      </c>
      <c r="E159" t="s">
        <v>902</v>
      </c>
      <c r="F159" t="s">
        <v>895</v>
      </c>
    </row>
    <row r="160" spans="1:6" x14ac:dyDescent="0.25">
      <c r="A160" s="1">
        <v>45816</v>
      </c>
      <c r="B160">
        <v>2025</v>
      </c>
      <c r="C160" t="s">
        <v>904</v>
      </c>
      <c r="D160">
        <v>8</v>
      </c>
      <c r="E160" t="s">
        <v>902</v>
      </c>
      <c r="F160" t="s">
        <v>896</v>
      </c>
    </row>
    <row r="161" spans="1:6" x14ac:dyDescent="0.25">
      <c r="A161" s="1">
        <v>45817</v>
      </c>
      <c r="B161">
        <v>2025</v>
      </c>
      <c r="C161" t="s">
        <v>904</v>
      </c>
      <c r="D161">
        <v>9</v>
      </c>
      <c r="E161" t="s">
        <v>902</v>
      </c>
      <c r="F161" t="s">
        <v>897</v>
      </c>
    </row>
    <row r="162" spans="1:6" x14ac:dyDescent="0.25">
      <c r="A162" s="1">
        <v>45818</v>
      </c>
      <c r="B162">
        <v>2025</v>
      </c>
      <c r="C162" t="s">
        <v>904</v>
      </c>
      <c r="D162">
        <v>10</v>
      </c>
      <c r="E162" t="s">
        <v>902</v>
      </c>
      <c r="F162" t="s">
        <v>898</v>
      </c>
    </row>
    <row r="163" spans="1:6" x14ac:dyDescent="0.25">
      <c r="A163" s="1">
        <v>45819</v>
      </c>
      <c r="B163">
        <v>2025</v>
      </c>
      <c r="C163" t="s">
        <v>904</v>
      </c>
      <c r="D163">
        <v>11</v>
      </c>
      <c r="E163" t="s">
        <v>902</v>
      </c>
      <c r="F163" t="s">
        <v>892</v>
      </c>
    </row>
    <row r="164" spans="1:6" x14ac:dyDescent="0.25">
      <c r="A164" s="1">
        <v>45820</v>
      </c>
      <c r="B164">
        <v>2025</v>
      </c>
      <c r="C164" t="s">
        <v>904</v>
      </c>
      <c r="D164">
        <v>12</v>
      </c>
      <c r="E164" t="s">
        <v>902</v>
      </c>
      <c r="F164" t="s">
        <v>893</v>
      </c>
    </row>
    <row r="165" spans="1:6" x14ac:dyDescent="0.25">
      <c r="A165" s="1">
        <v>45821</v>
      </c>
      <c r="B165">
        <v>2025</v>
      </c>
      <c r="C165" t="s">
        <v>904</v>
      </c>
      <c r="D165">
        <v>13</v>
      </c>
      <c r="E165" t="s">
        <v>902</v>
      </c>
      <c r="F165" t="s">
        <v>894</v>
      </c>
    </row>
    <row r="166" spans="1:6" x14ac:dyDescent="0.25">
      <c r="A166" s="1">
        <v>45822</v>
      </c>
      <c r="B166">
        <v>2025</v>
      </c>
      <c r="C166" t="s">
        <v>904</v>
      </c>
      <c r="D166">
        <v>14</v>
      </c>
      <c r="E166" t="s">
        <v>902</v>
      </c>
      <c r="F166" t="s">
        <v>895</v>
      </c>
    </row>
    <row r="167" spans="1:6" x14ac:dyDescent="0.25">
      <c r="A167" s="1">
        <v>45823</v>
      </c>
      <c r="B167">
        <v>2025</v>
      </c>
      <c r="C167" t="s">
        <v>904</v>
      </c>
      <c r="D167">
        <v>15</v>
      </c>
      <c r="E167" t="s">
        <v>902</v>
      </c>
      <c r="F167" t="s">
        <v>896</v>
      </c>
    </row>
    <row r="168" spans="1:6" x14ac:dyDescent="0.25">
      <c r="A168" s="1">
        <v>45824</v>
      </c>
      <c r="B168">
        <v>2025</v>
      </c>
      <c r="C168" t="s">
        <v>904</v>
      </c>
      <c r="D168">
        <v>16</v>
      </c>
      <c r="E168" t="s">
        <v>902</v>
      </c>
      <c r="F168" t="s">
        <v>897</v>
      </c>
    </row>
    <row r="169" spans="1:6" x14ac:dyDescent="0.25">
      <c r="A169" s="1">
        <v>45825</v>
      </c>
      <c r="B169">
        <v>2025</v>
      </c>
      <c r="C169" t="s">
        <v>904</v>
      </c>
      <c r="D169">
        <v>17</v>
      </c>
      <c r="E169" t="s">
        <v>902</v>
      </c>
      <c r="F169" t="s">
        <v>898</v>
      </c>
    </row>
    <row r="170" spans="1:6" x14ac:dyDescent="0.25">
      <c r="A170" s="1">
        <v>45826</v>
      </c>
      <c r="B170">
        <v>2025</v>
      </c>
      <c r="C170" t="s">
        <v>904</v>
      </c>
      <c r="D170">
        <v>18</v>
      </c>
      <c r="E170" t="s">
        <v>902</v>
      </c>
      <c r="F170" t="s">
        <v>892</v>
      </c>
    </row>
    <row r="171" spans="1:6" x14ac:dyDescent="0.25">
      <c r="A171" s="1">
        <v>45827</v>
      </c>
      <c r="B171">
        <v>2025</v>
      </c>
      <c r="C171" t="s">
        <v>904</v>
      </c>
      <c r="D171">
        <v>19</v>
      </c>
      <c r="E171" t="s">
        <v>902</v>
      </c>
      <c r="F171" t="s">
        <v>893</v>
      </c>
    </row>
    <row r="172" spans="1:6" x14ac:dyDescent="0.25">
      <c r="A172" s="1">
        <v>45828</v>
      </c>
      <c r="B172">
        <v>2025</v>
      </c>
      <c r="C172" t="s">
        <v>904</v>
      </c>
      <c r="D172">
        <v>20</v>
      </c>
      <c r="E172" t="s">
        <v>902</v>
      </c>
      <c r="F172" t="s">
        <v>894</v>
      </c>
    </row>
    <row r="173" spans="1:6" x14ac:dyDescent="0.25">
      <c r="A173" s="1">
        <v>45829</v>
      </c>
      <c r="B173">
        <v>2025</v>
      </c>
      <c r="C173" t="s">
        <v>904</v>
      </c>
      <c r="D173">
        <v>21</v>
      </c>
      <c r="E173" t="s">
        <v>902</v>
      </c>
      <c r="F173" t="s">
        <v>895</v>
      </c>
    </row>
    <row r="174" spans="1:6" x14ac:dyDescent="0.25">
      <c r="A174" s="1">
        <v>45830</v>
      </c>
      <c r="B174">
        <v>2025</v>
      </c>
      <c r="C174" t="s">
        <v>904</v>
      </c>
      <c r="D174">
        <v>22</v>
      </c>
      <c r="E174" t="s">
        <v>902</v>
      </c>
      <c r="F174" t="s">
        <v>896</v>
      </c>
    </row>
    <row r="175" spans="1:6" x14ac:dyDescent="0.25">
      <c r="A175" s="1">
        <v>45831</v>
      </c>
      <c r="B175">
        <v>2025</v>
      </c>
      <c r="C175" t="s">
        <v>904</v>
      </c>
      <c r="D175">
        <v>23</v>
      </c>
      <c r="E175" t="s">
        <v>902</v>
      </c>
      <c r="F175" t="s">
        <v>897</v>
      </c>
    </row>
    <row r="176" spans="1:6" x14ac:dyDescent="0.25">
      <c r="A176" s="1">
        <v>45832</v>
      </c>
      <c r="B176">
        <v>2025</v>
      </c>
      <c r="C176" t="s">
        <v>904</v>
      </c>
      <c r="D176">
        <v>24</v>
      </c>
      <c r="E176" t="s">
        <v>902</v>
      </c>
      <c r="F176" t="s">
        <v>898</v>
      </c>
    </row>
    <row r="177" spans="1:6" x14ac:dyDescent="0.25">
      <c r="A177" s="1">
        <v>45833</v>
      </c>
      <c r="B177">
        <v>2025</v>
      </c>
      <c r="C177" t="s">
        <v>904</v>
      </c>
      <c r="D177">
        <v>25</v>
      </c>
      <c r="E177" t="s">
        <v>902</v>
      </c>
      <c r="F177" t="s">
        <v>892</v>
      </c>
    </row>
    <row r="178" spans="1:6" x14ac:dyDescent="0.25">
      <c r="A178" s="1">
        <v>45834</v>
      </c>
      <c r="B178">
        <v>2025</v>
      </c>
      <c r="C178" t="s">
        <v>904</v>
      </c>
      <c r="D178">
        <v>26</v>
      </c>
      <c r="E178" t="s">
        <v>902</v>
      </c>
      <c r="F178" t="s">
        <v>893</v>
      </c>
    </row>
    <row r="179" spans="1:6" x14ac:dyDescent="0.25">
      <c r="A179" s="1">
        <v>45835</v>
      </c>
      <c r="B179">
        <v>2025</v>
      </c>
      <c r="C179" t="s">
        <v>904</v>
      </c>
      <c r="D179">
        <v>27</v>
      </c>
      <c r="E179" t="s">
        <v>902</v>
      </c>
      <c r="F179" t="s">
        <v>894</v>
      </c>
    </row>
    <row r="180" spans="1:6" x14ac:dyDescent="0.25">
      <c r="A180" s="1">
        <v>45836</v>
      </c>
      <c r="B180">
        <v>2025</v>
      </c>
      <c r="C180" t="s">
        <v>904</v>
      </c>
      <c r="D180">
        <v>28</v>
      </c>
      <c r="E180" t="s">
        <v>902</v>
      </c>
      <c r="F180" t="s">
        <v>895</v>
      </c>
    </row>
    <row r="181" spans="1:6" x14ac:dyDescent="0.25">
      <c r="A181" s="1">
        <v>45837</v>
      </c>
      <c r="B181">
        <v>2025</v>
      </c>
      <c r="C181" t="s">
        <v>904</v>
      </c>
      <c r="D181">
        <v>29</v>
      </c>
      <c r="E181" t="s">
        <v>902</v>
      </c>
      <c r="F181" t="s">
        <v>896</v>
      </c>
    </row>
    <row r="182" spans="1:6" x14ac:dyDescent="0.25">
      <c r="A182" s="1">
        <v>45838</v>
      </c>
      <c r="B182">
        <v>2025</v>
      </c>
      <c r="C182" t="s">
        <v>904</v>
      </c>
      <c r="D182">
        <v>30</v>
      </c>
      <c r="E182" t="s">
        <v>902</v>
      </c>
      <c r="F182" t="s">
        <v>897</v>
      </c>
    </row>
    <row r="183" spans="1:6" x14ac:dyDescent="0.25">
      <c r="A183" s="1">
        <v>45839</v>
      </c>
      <c r="B183">
        <v>2025</v>
      </c>
      <c r="C183" t="s">
        <v>905</v>
      </c>
      <c r="D183">
        <v>1</v>
      </c>
      <c r="E183" t="s">
        <v>906</v>
      </c>
      <c r="F183" t="s">
        <v>898</v>
      </c>
    </row>
    <row r="184" spans="1:6" x14ac:dyDescent="0.25">
      <c r="A184" s="1">
        <v>45840</v>
      </c>
      <c r="B184">
        <v>2025</v>
      </c>
      <c r="C184" t="s">
        <v>905</v>
      </c>
      <c r="D184">
        <v>2</v>
      </c>
      <c r="E184" t="s">
        <v>906</v>
      </c>
      <c r="F184" t="s">
        <v>892</v>
      </c>
    </row>
    <row r="185" spans="1:6" x14ac:dyDescent="0.25">
      <c r="A185" s="1">
        <v>45841</v>
      </c>
      <c r="B185">
        <v>2025</v>
      </c>
      <c r="C185" t="s">
        <v>905</v>
      </c>
      <c r="D185">
        <v>3</v>
      </c>
      <c r="E185" t="s">
        <v>906</v>
      </c>
      <c r="F185" t="s">
        <v>893</v>
      </c>
    </row>
    <row r="186" spans="1:6" x14ac:dyDescent="0.25">
      <c r="A186" s="1">
        <v>45842</v>
      </c>
      <c r="B186">
        <v>2025</v>
      </c>
      <c r="C186" t="s">
        <v>905</v>
      </c>
      <c r="D186">
        <v>4</v>
      </c>
      <c r="E186" t="s">
        <v>906</v>
      </c>
      <c r="F186" t="s">
        <v>894</v>
      </c>
    </row>
    <row r="187" spans="1:6" x14ac:dyDescent="0.25">
      <c r="A187" s="1">
        <v>45843</v>
      </c>
      <c r="B187">
        <v>2025</v>
      </c>
      <c r="C187" t="s">
        <v>905</v>
      </c>
      <c r="D187">
        <v>5</v>
      </c>
      <c r="E187" t="s">
        <v>906</v>
      </c>
      <c r="F187" t="s">
        <v>895</v>
      </c>
    </row>
    <row r="188" spans="1:6" x14ac:dyDescent="0.25">
      <c r="A188" s="1">
        <v>45844</v>
      </c>
      <c r="B188">
        <v>2025</v>
      </c>
      <c r="C188" t="s">
        <v>905</v>
      </c>
      <c r="D188">
        <v>6</v>
      </c>
      <c r="E188" t="s">
        <v>906</v>
      </c>
      <c r="F188" t="s">
        <v>896</v>
      </c>
    </row>
    <row r="189" spans="1:6" x14ac:dyDescent="0.25">
      <c r="A189" s="1">
        <v>45845</v>
      </c>
      <c r="B189">
        <v>2025</v>
      </c>
      <c r="C189" t="s">
        <v>905</v>
      </c>
      <c r="D189">
        <v>7</v>
      </c>
      <c r="E189" t="s">
        <v>906</v>
      </c>
      <c r="F189" t="s">
        <v>897</v>
      </c>
    </row>
    <row r="190" spans="1:6" x14ac:dyDescent="0.25">
      <c r="A190" s="1">
        <v>45846</v>
      </c>
      <c r="B190">
        <v>2025</v>
      </c>
      <c r="C190" t="s">
        <v>905</v>
      </c>
      <c r="D190">
        <v>8</v>
      </c>
      <c r="E190" t="s">
        <v>906</v>
      </c>
      <c r="F190" t="s">
        <v>898</v>
      </c>
    </row>
    <row r="191" spans="1:6" x14ac:dyDescent="0.25">
      <c r="A191" s="1">
        <v>45847</v>
      </c>
      <c r="B191">
        <v>2025</v>
      </c>
      <c r="C191" t="s">
        <v>905</v>
      </c>
      <c r="D191">
        <v>9</v>
      </c>
      <c r="E191" t="s">
        <v>906</v>
      </c>
      <c r="F191" t="s">
        <v>892</v>
      </c>
    </row>
    <row r="192" spans="1:6" x14ac:dyDescent="0.25">
      <c r="A192" s="1">
        <v>45848</v>
      </c>
      <c r="B192">
        <v>2025</v>
      </c>
      <c r="C192" t="s">
        <v>905</v>
      </c>
      <c r="D192">
        <v>10</v>
      </c>
      <c r="E192" t="s">
        <v>906</v>
      </c>
      <c r="F192" t="s">
        <v>893</v>
      </c>
    </row>
    <row r="193" spans="1:6" x14ac:dyDescent="0.25">
      <c r="A193" s="1">
        <v>45849</v>
      </c>
      <c r="B193">
        <v>2025</v>
      </c>
      <c r="C193" t="s">
        <v>905</v>
      </c>
      <c r="D193">
        <v>11</v>
      </c>
      <c r="E193" t="s">
        <v>906</v>
      </c>
      <c r="F193" t="s">
        <v>894</v>
      </c>
    </row>
    <row r="194" spans="1:6" x14ac:dyDescent="0.25">
      <c r="A194" s="1">
        <v>45850</v>
      </c>
      <c r="B194">
        <v>2025</v>
      </c>
      <c r="C194" t="s">
        <v>905</v>
      </c>
      <c r="D194">
        <v>12</v>
      </c>
      <c r="E194" t="s">
        <v>906</v>
      </c>
      <c r="F194" t="s">
        <v>895</v>
      </c>
    </row>
    <row r="195" spans="1:6" x14ac:dyDescent="0.25">
      <c r="A195" s="1">
        <v>45851</v>
      </c>
      <c r="B195">
        <v>2025</v>
      </c>
      <c r="C195" t="s">
        <v>905</v>
      </c>
      <c r="D195">
        <v>13</v>
      </c>
      <c r="E195" t="s">
        <v>906</v>
      </c>
      <c r="F195" t="s">
        <v>896</v>
      </c>
    </row>
    <row r="196" spans="1:6" x14ac:dyDescent="0.25">
      <c r="A196" s="1">
        <v>45852</v>
      </c>
      <c r="B196">
        <v>2025</v>
      </c>
      <c r="C196" t="s">
        <v>905</v>
      </c>
      <c r="D196">
        <v>14</v>
      </c>
      <c r="E196" t="s">
        <v>906</v>
      </c>
      <c r="F196" t="s">
        <v>897</v>
      </c>
    </row>
    <row r="197" spans="1:6" x14ac:dyDescent="0.25">
      <c r="A197" s="1">
        <v>45853</v>
      </c>
      <c r="B197">
        <v>2025</v>
      </c>
      <c r="C197" t="s">
        <v>905</v>
      </c>
      <c r="D197">
        <v>15</v>
      </c>
      <c r="E197" t="s">
        <v>906</v>
      </c>
      <c r="F197" t="s">
        <v>898</v>
      </c>
    </row>
    <row r="198" spans="1:6" x14ac:dyDescent="0.25">
      <c r="A198" s="1">
        <v>45854</v>
      </c>
      <c r="B198">
        <v>2025</v>
      </c>
      <c r="C198" t="s">
        <v>905</v>
      </c>
      <c r="D198">
        <v>16</v>
      </c>
      <c r="E198" t="s">
        <v>906</v>
      </c>
      <c r="F198" t="s">
        <v>892</v>
      </c>
    </row>
    <row r="199" spans="1:6" x14ac:dyDescent="0.25">
      <c r="A199" s="1">
        <v>45855</v>
      </c>
      <c r="B199">
        <v>2025</v>
      </c>
      <c r="C199" t="s">
        <v>905</v>
      </c>
      <c r="D199">
        <v>17</v>
      </c>
      <c r="E199" t="s">
        <v>906</v>
      </c>
      <c r="F199" t="s">
        <v>893</v>
      </c>
    </row>
    <row r="200" spans="1:6" x14ac:dyDescent="0.25">
      <c r="A200" s="1">
        <v>45856</v>
      </c>
      <c r="B200">
        <v>2025</v>
      </c>
      <c r="C200" t="s">
        <v>905</v>
      </c>
      <c r="D200">
        <v>18</v>
      </c>
      <c r="E200" t="s">
        <v>906</v>
      </c>
      <c r="F200" t="s">
        <v>894</v>
      </c>
    </row>
    <row r="201" spans="1:6" x14ac:dyDescent="0.25">
      <c r="A201" s="1">
        <v>45857</v>
      </c>
      <c r="B201">
        <v>2025</v>
      </c>
      <c r="C201" t="s">
        <v>905</v>
      </c>
      <c r="D201">
        <v>19</v>
      </c>
      <c r="E201" t="s">
        <v>906</v>
      </c>
      <c r="F201" t="s">
        <v>895</v>
      </c>
    </row>
    <row r="202" spans="1:6" x14ac:dyDescent="0.25">
      <c r="A202" s="1">
        <v>45858</v>
      </c>
      <c r="B202">
        <v>2025</v>
      </c>
      <c r="C202" t="s">
        <v>905</v>
      </c>
      <c r="D202">
        <v>20</v>
      </c>
      <c r="E202" t="s">
        <v>906</v>
      </c>
      <c r="F202" t="s">
        <v>896</v>
      </c>
    </row>
    <row r="203" spans="1:6" x14ac:dyDescent="0.25">
      <c r="A203" s="1">
        <v>45859</v>
      </c>
      <c r="B203">
        <v>2025</v>
      </c>
      <c r="C203" t="s">
        <v>905</v>
      </c>
      <c r="D203">
        <v>21</v>
      </c>
      <c r="E203" t="s">
        <v>906</v>
      </c>
      <c r="F203" t="s">
        <v>897</v>
      </c>
    </row>
    <row r="204" spans="1:6" x14ac:dyDescent="0.25">
      <c r="A204" s="1">
        <v>45860</v>
      </c>
      <c r="B204">
        <v>2025</v>
      </c>
      <c r="C204" t="s">
        <v>905</v>
      </c>
      <c r="D204">
        <v>22</v>
      </c>
      <c r="E204" t="s">
        <v>906</v>
      </c>
      <c r="F204" t="s">
        <v>898</v>
      </c>
    </row>
    <row r="205" spans="1:6" x14ac:dyDescent="0.25">
      <c r="A205" s="1">
        <v>45861</v>
      </c>
      <c r="B205">
        <v>2025</v>
      </c>
      <c r="C205" t="s">
        <v>905</v>
      </c>
      <c r="D205">
        <v>23</v>
      </c>
      <c r="E205" t="s">
        <v>906</v>
      </c>
      <c r="F205" t="s">
        <v>892</v>
      </c>
    </row>
    <row r="206" spans="1:6" x14ac:dyDescent="0.25">
      <c r="A206" s="1">
        <v>45862</v>
      </c>
      <c r="B206">
        <v>2025</v>
      </c>
      <c r="C206" t="s">
        <v>905</v>
      </c>
      <c r="D206">
        <v>24</v>
      </c>
      <c r="E206" t="s">
        <v>906</v>
      </c>
      <c r="F206" t="s">
        <v>893</v>
      </c>
    </row>
    <row r="207" spans="1:6" x14ac:dyDescent="0.25">
      <c r="A207" s="1">
        <v>45863</v>
      </c>
      <c r="B207">
        <v>2025</v>
      </c>
      <c r="C207" t="s">
        <v>905</v>
      </c>
      <c r="D207">
        <v>25</v>
      </c>
      <c r="E207" t="s">
        <v>906</v>
      </c>
      <c r="F207" t="s">
        <v>894</v>
      </c>
    </row>
    <row r="208" spans="1:6" x14ac:dyDescent="0.25">
      <c r="A208" s="1">
        <v>45864</v>
      </c>
      <c r="B208">
        <v>2025</v>
      </c>
      <c r="C208" t="s">
        <v>905</v>
      </c>
      <c r="D208">
        <v>26</v>
      </c>
      <c r="E208" t="s">
        <v>906</v>
      </c>
      <c r="F208" t="s">
        <v>895</v>
      </c>
    </row>
    <row r="209" spans="1:6" x14ac:dyDescent="0.25">
      <c r="A209" s="1">
        <v>45865</v>
      </c>
      <c r="B209">
        <v>2025</v>
      </c>
      <c r="C209" t="s">
        <v>905</v>
      </c>
      <c r="D209">
        <v>27</v>
      </c>
      <c r="E209" t="s">
        <v>906</v>
      </c>
      <c r="F209" t="s">
        <v>896</v>
      </c>
    </row>
    <row r="210" spans="1:6" x14ac:dyDescent="0.25">
      <c r="A210" s="1">
        <v>45866</v>
      </c>
      <c r="B210">
        <v>2025</v>
      </c>
      <c r="C210" t="s">
        <v>905</v>
      </c>
      <c r="D210">
        <v>28</v>
      </c>
      <c r="E210" t="s">
        <v>906</v>
      </c>
      <c r="F210" t="s">
        <v>897</v>
      </c>
    </row>
    <row r="211" spans="1:6" x14ac:dyDescent="0.25">
      <c r="A211" s="1">
        <v>45867</v>
      </c>
      <c r="B211">
        <v>2025</v>
      </c>
      <c r="C211" t="s">
        <v>905</v>
      </c>
      <c r="D211">
        <v>29</v>
      </c>
      <c r="E211" t="s">
        <v>906</v>
      </c>
      <c r="F211" t="s">
        <v>898</v>
      </c>
    </row>
    <row r="212" spans="1:6" x14ac:dyDescent="0.25">
      <c r="A212" s="1">
        <v>45868</v>
      </c>
      <c r="B212">
        <v>2025</v>
      </c>
      <c r="C212" t="s">
        <v>905</v>
      </c>
      <c r="D212">
        <v>30</v>
      </c>
      <c r="E212" t="s">
        <v>906</v>
      </c>
      <c r="F212" t="s">
        <v>892</v>
      </c>
    </row>
    <row r="213" spans="1:6" x14ac:dyDescent="0.25">
      <c r="A213" s="1">
        <v>45869</v>
      </c>
      <c r="B213">
        <v>2025</v>
      </c>
      <c r="C213" t="s">
        <v>905</v>
      </c>
      <c r="D213">
        <v>31</v>
      </c>
      <c r="E213" t="s">
        <v>906</v>
      </c>
      <c r="F213" t="s">
        <v>893</v>
      </c>
    </row>
    <row r="214" spans="1:6" x14ac:dyDescent="0.25">
      <c r="A214" s="1">
        <v>45870</v>
      </c>
      <c r="B214">
        <v>2025</v>
      </c>
      <c r="C214" t="s">
        <v>907</v>
      </c>
      <c r="D214">
        <v>1</v>
      </c>
      <c r="E214" t="s">
        <v>906</v>
      </c>
      <c r="F214" t="s">
        <v>894</v>
      </c>
    </row>
    <row r="215" spans="1:6" x14ac:dyDescent="0.25">
      <c r="A215" s="1">
        <v>45871</v>
      </c>
      <c r="B215">
        <v>2025</v>
      </c>
      <c r="C215" t="s">
        <v>907</v>
      </c>
      <c r="D215">
        <v>2</v>
      </c>
      <c r="E215" t="s">
        <v>906</v>
      </c>
      <c r="F215" t="s">
        <v>895</v>
      </c>
    </row>
    <row r="216" spans="1:6" x14ac:dyDescent="0.25">
      <c r="A216" s="1">
        <v>45872</v>
      </c>
      <c r="B216">
        <v>2025</v>
      </c>
      <c r="C216" t="s">
        <v>907</v>
      </c>
      <c r="D216">
        <v>3</v>
      </c>
      <c r="E216" t="s">
        <v>906</v>
      </c>
      <c r="F216" t="s">
        <v>896</v>
      </c>
    </row>
    <row r="217" spans="1:6" x14ac:dyDescent="0.25">
      <c r="A217" s="1">
        <v>45873</v>
      </c>
      <c r="B217">
        <v>2025</v>
      </c>
      <c r="C217" t="s">
        <v>907</v>
      </c>
      <c r="D217">
        <v>4</v>
      </c>
      <c r="E217" t="s">
        <v>906</v>
      </c>
      <c r="F217" t="s">
        <v>897</v>
      </c>
    </row>
    <row r="218" spans="1:6" x14ac:dyDescent="0.25">
      <c r="A218" s="1">
        <v>45874</v>
      </c>
      <c r="B218">
        <v>2025</v>
      </c>
      <c r="C218" t="s">
        <v>907</v>
      </c>
      <c r="D218">
        <v>5</v>
      </c>
      <c r="E218" t="s">
        <v>906</v>
      </c>
      <c r="F218" t="s">
        <v>898</v>
      </c>
    </row>
    <row r="219" spans="1:6" x14ac:dyDescent="0.25">
      <c r="A219" s="1">
        <v>45875</v>
      </c>
      <c r="B219">
        <v>2025</v>
      </c>
      <c r="C219" t="s">
        <v>907</v>
      </c>
      <c r="D219">
        <v>6</v>
      </c>
      <c r="E219" t="s">
        <v>906</v>
      </c>
      <c r="F219" t="s">
        <v>892</v>
      </c>
    </row>
    <row r="220" spans="1:6" x14ac:dyDescent="0.25">
      <c r="A220" s="1">
        <v>45876</v>
      </c>
      <c r="B220">
        <v>2025</v>
      </c>
      <c r="C220" t="s">
        <v>907</v>
      </c>
      <c r="D220">
        <v>7</v>
      </c>
      <c r="E220" t="s">
        <v>906</v>
      </c>
      <c r="F220" t="s">
        <v>893</v>
      </c>
    </row>
    <row r="221" spans="1:6" x14ac:dyDescent="0.25">
      <c r="A221" s="1">
        <v>45877</v>
      </c>
      <c r="B221">
        <v>2025</v>
      </c>
      <c r="C221" t="s">
        <v>907</v>
      </c>
      <c r="D221">
        <v>8</v>
      </c>
      <c r="E221" t="s">
        <v>906</v>
      </c>
      <c r="F221" t="s">
        <v>894</v>
      </c>
    </row>
    <row r="222" spans="1:6" x14ac:dyDescent="0.25">
      <c r="A222" s="1">
        <v>45878</v>
      </c>
      <c r="B222">
        <v>2025</v>
      </c>
      <c r="C222" t="s">
        <v>907</v>
      </c>
      <c r="D222">
        <v>9</v>
      </c>
      <c r="E222" t="s">
        <v>906</v>
      </c>
      <c r="F222" t="s">
        <v>895</v>
      </c>
    </row>
    <row r="223" spans="1:6" x14ac:dyDescent="0.25">
      <c r="A223" s="1">
        <v>45879</v>
      </c>
      <c r="B223">
        <v>2025</v>
      </c>
      <c r="C223" t="s">
        <v>907</v>
      </c>
      <c r="D223">
        <v>10</v>
      </c>
      <c r="E223" t="s">
        <v>906</v>
      </c>
      <c r="F223" t="s">
        <v>896</v>
      </c>
    </row>
    <row r="224" spans="1:6" x14ac:dyDescent="0.25">
      <c r="A224" s="1">
        <v>45880</v>
      </c>
      <c r="B224">
        <v>2025</v>
      </c>
      <c r="C224" t="s">
        <v>907</v>
      </c>
      <c r="D224">
        <v>11</v>
      </c>
      <c r="E224" t="s">
        <v>906</v>
      </c>
      <c r="F224" t="s">
        <v>897</v>
      </c>
    </row>
    <row r="225" spans="1:6" x14ac:dyDescent="0.25">
      <c r="A225" s="1">
        <v>45881</v>
      </c>
      <c r="B225">
        <v>2025</v>
      </c>
      <c r="C225" t="s">
        <v>907</v>
      </c>
      <c r="D225">
        <v>12</v>
      </c>
      <c r="E225" t="s">
        <v>906</v>
      </c>
      <c r="F225" t="s">
        <v>898</v>
      </c>
    </row>
    <row r="226" spans="1:6" x14ac:dyDescent="0.25">
      <c r="A226" s="1">
        <v>45882</v>
      </c>
      <c r="B226">
        <v>2025</v>
      </c>
      <c r="C226" t="s">
        <v>907</v>
      </c>
      <c r="D226">
        <v>13</v>
      </c>
      <c r="E226" t="s">
        <v>906</v>
      </c>
      <c r="F226" t="s">
        <v>892</v>
      </c>
    </row>
    <row r="227" spans="1:6" x14ac:dyDescent="0.25">
      <c r="A227" s="1">
        <v>45883</v>
      </c>
      <c r="B227">
        <v>2025</v>
      </c>
      <c r="C227" t="s">
        <v>907</v>
      </c>
      <c r="D227">
        <v>14</v>
      </c>
      <c r="E227" t="s">
        <v>906</v>
      </c>
      <c r="F227" t="s">
        <v>893</v>
      </c>
    </row>
    <row r="228" spans="1:6" x14ac:dyDescent="0.25">
      <c r="A228" s="1">
        <v>45884</v>
      </c>
      <c r="B228">
        <v>2025</v>
      </c>
      <c r="C228" t="s">
        <v>907</v>
      </c>
      <c r="D228">
        <v>15</v>
      </c>
      <c r="E228" t="s">
        <v>906</v>
      </c>
      <c r="F228" t="s">
        <v>894</v>
      </c>
    </row>
    <row r="229" spans="1:6" x14ac:dyDescent="0.25">
      <c r="A229" s="1">
        <v>45885</v>
      </c>
      <c r="B229">
        <v>2025</v>
      </c>
      <c r="C229" t="s">
        <v>907</v>
      </c>
      <c r="D229">
        <v>16</v>
      </c>
      <c r="E229" t="s">
        <v>906</v>
      </c>
      <c r="F229" t="s">
        <v>895</v>
      </c>
    </row>
    <row r="230" spans="1:6" x14ac:dyDescent="0.25">
      <c r="A230" s="1">
        <v>45886</v>
      </c>
      <c r="B230">
        <v>2025</v>
      </c>
      <c r="C230" t="s">
        <v>907</v>
      </c>
      <c r="D230">
        <v>17</v>
      </c>
      <c r="E230" t="s">
        <v>906</v>
      </c>
      <c r="F230" t="s">
        <v>896</v>
      </c>
    </row>
    <row r="231" spans="1:6" x14ac:dyDescent="0.25">
      <c r="A231" s="1">
        <v>45887</v>
      </c>
      <c r="B231">
        <v>2025</v>
      </c>
      <c r="C231" t="s">
        <v>907</v>
      </c>
      <c r="D231">
        <v>18</v>
      </c>
      <c r="E231" t="s">
        <v>906</v>
      </c>
      <c r="F231" t="s">
        <v>897</v>
      </c>
    </row>
    <row r="232" spans="1:6" x14ac:dyDescent="0.25">
      <c r="A232" s="1">
        <v>45888</v>
      </c>
      <c r="B232">
        <v>2025</v>
      </c>
      <c r="C232" t="s">
        <v>907</v>
      </c>
      <c r="D232">
        <v>19</v>
      </c>
      <c r="E232" t="s">
        <v>906</v>
      </c>
      <c r="F232" t="s">
        <v>898</v>
      </c>
    </row>
    <row r="233" spans="1:6" x14ac:dyDescent="0.25">
      <c r="A233" s="1">
        <v>45889</v>
      </c>
      <c r="B233">
        <v>2025</v>
      </c>
      <c r="C233" t="s">
        <v>907</v>
      </c>
      <c r="D233">
        <v>20</v>
      </c>
      <c r="E233" t="s">
        <v>906</v>
      </c>
      <c r="F233" t="s">
        <v>892</v>
      </c>
    </row>
    <row r="234" spans="1:6" x14ac:dyDescent="0.25">
      <c r="A234" s="1">
        <v>45890</v>
      </c>
      <c r="B234">
        <v>2025</v>
      </c>
      <c r="C234" t="s">
        <v>907</v>
      </c>
      <c r="D234">
        <v>21</v>
      </c>
      <c r="E234" t="s">
        <v>906</v>
      </c>
      <c r="F234" t="s">
        <v>893</v>
      </c>
    </row>
    <row r="235" spans="1:6" x14ac:dyDescent="0.25">
      <c r="A235" s="1">
        <v>45891</v>
      </c>
      <c r="B235">
        <v>2025</v>
      </c>
      <c r="C235" t="s">
        <v>907</v>
      </c>
      <c r="D235">
        <v>22</v>
      </c>
      <c r="E235" t="s">
        <v>906</v>
      </c>
      <c r="F235" t="s">
        <v>894</v>
      </c>
    </row>
    <row r="236" spans="1:6" x14ac:dyDescent="0.25">
      <c r="A236" s="1">
        <v>45892</v>
      </c>
      <c r="B236">
        <v>2025</v>
      </c>
      <c r="C236" t="s">
        <v>907</v>
      </c>
      <c r="D236">
        <v>23</v>
      </c>
      <c r="E236" t="s">
        <v>906</v>
      </c>
      <c r="F236" t="s">
        <v>895</v>
      </c>
    </row>
    <row r="237" spans="1:6" x14ac:dyDescent="0.25">
      <c r="A237" s="1">
        <v>45893</v>
      </c>
      <c r="B237">
        <v>2025</v>
      </c>
      <c r="C237" t="s">
        <v>907</v>
      </c>
      <c r="D237">
        <v>24</v>
      </c>
      <c r="E237" t="s">
        <v>906</v>
      </c>
      <c r="F237" t="s">
        <v>896</v>
      </c>
    </row>
    <row r="238" spans="1:6" x14ac:dyDescent="0.25">
      <c r="A238" s="1">
        <v>45894</v>
      </c>
      <c r="B238">
        <v>2025</v>
      </c>
      <c r="C238" t="s">
        <v>907</v>
      </c>
      <c r="D238">
        <v>25</v>
      </c>
      <c r="E238" t="s">
        <v>906</v>
      </c>
      <c r="F238" t="s">
        <v>897</v>
      </c>
    </row>
    <row r="239" spans="1:6" x14ac:dyDescent="0.25">
      <c r="A239" s="1">
        <v>45895</v>
      </c>
      <c r="B239">
        <v>2025</v>
      </c>
      <c r="C239" t="s">
        <v>907</v>
      </c>
      <c r="D239">
        <v>26</v>
      </c>
      <c r="E239" t="s">
        <v>906</v>
      </c>
      <c r="F239" t="s">
        <v>898</v>
      </c>
    </row>
    <row r="240" spans="1:6" x14ac:dyDescent="0.25">
      <c r="A240" s="1">
        <v>45896</v>
      </c>
      <c r="B240">
        <v>2025</v>
      </c>
      <c r="C240" t="s">
        <v>907</v>
      </c>
      <c r="D240">
        <v>27</v>
      </c>
      <c r="E240" t="s">
        <v>906</v>
      </c>
      <c r="F240" t="s">
        <v>892</v>
      </c>
    </row>
    <row r="241" spans="1:6" x14ac:dyDescent="0.25">
      <c r="A241" s="1">
        <v>45897</v>
      </c>
      <c r="B241">
        <v>2025</v>
      </c>
      <c r="C241" t="s">
        <v>907</v>
      </c>
      <c r="D241">
        <v>28</v>
      </c>
      <c r="E241" t="s">
        <v>906</v>
      </c>
      <c r="F241" t="s">
        <v>893</v>
      </c>
    </row>
    <row r="242" spans="1:6" x14ac:dyDescent="0.25">
      <c r="A242" s="1">
        <v>45898</v>
      </c>
      <c r="B242">
        <v>2025</v>
      </c>
      <c r="C242" t="s">
        <v>907</v>
      </c>
      <c r="D242">
        <v>29</v>
      </c>
      <c r="E242" t="s">
        <v>906</v>
      </c>
      <c r="F242" t="s">
        <v>894</v>
      </c>
    </row>
    <row r="243" spans="1:6" x14ac:dyDescent="0.25">
      <c r="A243" s="1">
        <v>45899</v>
      </c>
      <c r="B243">
        <v>2025</v>
      </c>
      <c r="C243" t="s">
        <v>907</v>
      </c>
      <c r="D243">
        <v>30</v>
      </c>
      <c r="E243" t="s">
        <v>906</v>
      </c>
      <c r="F243" t="s">
        <v>895</v>
      </c>
    </row>
    <row r="244" spans="1:6" x14ac:dyDescent="0.25">
      <c r="A244" s="1">
        <v>45900</v>
      </c>
      <c r="B244">
        <v>2025</v>
      </c>
      <c r="C244" t="s">
        <v>907</v>
      </c>
      <c r="D244">
        <v>31</v>
      </c>
      <c r="E244" t="s">
        <v>906</v>
      </c>
      <c r="F244" t="s">
        <v>896</v>
      </c>
    </row>
    <row r="245" spans="1:6" x14ac:dyDescent="0.25">
      <c r="A245" s="1">
        <v>45901</v>
      </c>
      <c r="B245">
        <v>2025</v>
      </c>
      <c r="C245" t="s">
        <v>908</v>
      </c>
      <c r="D245">
        <v>1</v>
      </c>
      <c r="E245" t="s">
        <v>906</v>
      </c>
      <c r="F245" t="s">
        <v>897</v>
      </c>
    </row>
    <row r="246" spans="1:6" x14ac:dyDescent="0.25">
      <c r="A246" s="1">
        <v>45902</v>
      </c>
      <c r="B246">
        <v>2025</v>
      </c>
      <c r="C246" t="s">
        <v>908</v>
      </c>
      <c r="D246">
        <v>2</v>
      </c>
      <c r="E246" t="s">
        <v>906</v>
      </c>
      <c r="F246" t="s">
        <v>898</v>
      </c>
    </row>
    <row r="247" spans="1:6" x14ac:dyDescent="0.25">
      <c r="A247" s="1">
        <v>45903</v>
      </c>
      <c r="B247">
        <v>2025</v>
      </c>
      <c r="C247" t="s">
        <v>908</v>
      </c>
      <c r="D247">
        <v>3</v>
      </c>
      <c r="E247" t="s">
        <v>906</v>
      </c>
      <c r="F247" t="s">
        <v>892</v>
      </c>
    </row>
    <row r="248" spans="1:6" x14ac:dyDescent="0.25">
      <c r="A248" s="1">
        <v>45904</v>
      </c>
      <c r="B248">
        <v>2025</v>
      </c>
      <c r="C248" t="s">
        <v>908</v>
      </c>
      <c r="D248">
        <v>4</v>
      </c>
      <c r="E248" t="s">
        <v>906</v>
      </c>
      <c r="F248" t="s">
        <v>893</v>
      </c>
    </row>
    <row r="249" spans="1:6" x14ac:dyDescent="0.25">
      <c r="A249" s="1">
        <v>45905</v>
      </c>
      <c r="B249">
        <v>2025</v>
      </c>
      <c r="C249" t="s">
        <v>908</v>
      </c>
      <c r="D249">
        <v>5</v>
      </c>
      <c r="E249" t="s">
        <v>906</v>
      </c>
      <c r="F249" t="s">
        <v>894</v>
      </c>
    </row>
    <row r="250" spans="1:6" x14ac:dyDescent="0.25">
      <c r="A250" s="1">
        <v>45906</v>
      </c>
      <c r="B250">
        <v>2025</v>
      </c>
      <c r="C250" t="s">
        <v>908</v>
      </c>
      <c r="D250">
        <v>6</v>
      </c>
      <c r="E250" t="s">
        <v>906</v>
      </c>
      <c r="F250" t="s">
        <v>895</v>
      </c>
    </row>
    <row r="251" spans="1:6" x14ac:dyDescent="0.25">
      <c r="A251" s="1">
        <v>45907</v>
      </c>
      <c r="B251">
        <v>2025</v>
      </c>
      <c r="C251" t="s">
        <v>908</v>
      </c>
      <c r="D251">
        <v>7</v>
      </c>
      <c r="E251" t="s">
        <v>906</v>
      </c>
      <c r="F251" t="s">
        <v>896</v>
      </c>
    </row>
    <row r="252" spans="1:6" x14ac:dyDescent="0.25">
      <c r="A252" s="1">
        <v>45908</v>
      </c>
      <c r="B252">
        <v>2025</v>
      </c>
      <c r="C252" t="s">
        <v>908</v>
      </c>
      <c r="D252">
        <v>8</v>
      </c>
      <c r="E252" t="s">
        <v>906</v>
      </c>
      <c r="F252" t="s">
        <v>897</v>
      </c>
    </row>
    <row r="253" spans="1:6" x14ac:dyDescent="0.25">
      <c r="A253" s="1">
        <v>45909</v>
      </c>
      <c r="B253">
        <v>2025</v>
      </c>
      <c r="C253" t="s">
        <v>908</v>
      </c>
      <c r="D253">
        <v>9</v>
      </c>
      <c r="E253" t="s">
        <v>906</v>
      </c>
      <c r="F253" t="s">
        <v>898</v>
      </c>
    </row>
    <row r="254" spans="1:6" x14ac:dyDescent="0.25">
      <c r="A254" s="1">
        <v>45910</v>
      </c>
      <c r="B254">
        <v>2025</v>
      </c>
      <c r="C254" t="s">
        <v>908</v>
      </c>
      <c r="D254">
        <v>10</v>
      </c>
      <c r="E254" t="s">
        <v>906</v>
      </c>
      <c r="F254" t="s">
        <v>892</v>
      </c>
    </row>
    <row r="255" spans="1:6" x14ac:dyDescent="0.25">
      <c r="A255" s="1">
        <v>45911</v>
      </c>
      <c r="B255">
        <v>2025</v>
      </c>
      <c r="C255" t="s">
        <v>908</v>
      </c>
      <c r="D255">
        <v>11</v>
      </c>
      <c r="E255" t="s">
        <v>906</v>
      </c>
      <c r="F255" t="s">
        <v>893</v>
      </c>
    </row>
    <row r="256" spans="1:6" x14ac:dyDescent="0.25">
      <c r="A256" s="1">
        <v>45912</v>
      </c>
      <c r="B256">
        <v>2025</v>
      </c>
      <c r="C256" t="s">
        <v>908</v>
      </c>
      <c r="D256">
        <v>12</v>
      </c>
      <c r="E256" t="s">
        <v>906</v>
      </c>
      <c r="F256" t="s">
        <v>894</v>
      </c>
    </row>
    <row r="257" spans="1:6" x14ac:dyDescent="0.25">
      <c r="A257" s="1">
        <v>45913</v>
      </c>
      <c r="B257">
        <v>2025</v>
      </c>
      <c r="C257" t="s">
        <v>908</v>
      </c>
      <c r="D257">
        <v>13</v>
      </c>
      <c r="E257" t="s">
        <v>906</v>
      </c>
      <c r="F257" t="s">
        <v>895</v>
      </c>
    </row>
    <row r="258" spans="1:6" x14ac:dyDescent="0.25">
      <c r="A258" s="1">
        <v>45914</v>
      </c>
      <c r="B258">
        <v>2025</v>
      </c>
      <c r="C258" t="s">
        <v>908</v>
      </c>
      <c r="D258">
        <v>14</v>
      </c>
      <c r="E258" t="s">
        <v>906</v>
      </c>
      <c r="F258" t="s">
        <v>896</v>
      </c>
    </row>
    <row r="259" spans="1:6" x14ac:dyDescent="0.25">
      <c r="A259" s="1">
        <v>45915</v>
      </c>
      <c r="B259">
        <v>2025</v>
      </c>
      <c r="C259" t="s">
        <v>908</v>
      </c>
      <c r="D259">
        <v>15</v>
      </c>
      <c r="E259" t="s">
        <v>906</v>
      </c>
      <c r="F259" t="s">
        <v>897</v>
      </c>
    </row>
    <row r="260" spans="1:6" x14ac:dyDescent="0.25">
      <c r="A260" s="1">
        <v>45916</v>
      </c>
      <c r="B260">
        <v>2025</v>
      </c>
      <c r="C260" t="s">
        <v>908</v>
      </c>
      <c r="D260">
        <v>16</v>
      </c>
      <c r="E260" t="s">
        <v>906</v>
      </c>
      <c r="F260" t="s">
        <v>898</v>
      </c>
    </row>
    <row r="261" spans="1:6" x14ac:dyDescent="0.25">
      <c r="A261" s="1">
        <v>45917</v>
      </c>
      <c r="B261">
        <v>2025</v>
      </c>
      <c r="C261" t="s">
        <v>908</v>
      </c>
      <c r="D261">
        <v>17</v>
      </c>
      <c r="E261" t="s">
        <v>906</v>
      </c>
      <c r="F261" t="s">
        <v>892</v>
      </c>
    </row>
    <row r="262" spans="1:6" x14ac:dyDescent="0.25">
      <c r="A262" s="1">
        <v>45918</v>
      </c>
      <c r="B262">
        <v>2025</v>
      </c>
      <c r="C262" t="s">
        <v>908</v>
      </c>
      <c r="D262">
        <v>18</v>
      </c>
      <c r="E262" t="s">
        <v>906</v>
      </c>
      <c r="F262" t="s">
        <v>893</v>
      </c>
    </row>
    <row r="263" spans="1:6" x14ac:dyDescent="0.25">
      <c r="A263" s="1">
        <v>45919</v>
      </c>
      <c r="B263">
        <v>2025</v>
      </c>
      <c r="C263" t="s">
        <v>908</v>
      </c>
      <c r="D263">
        <v>19</v>
      </c>
      <c r="E263" t="s">
        <v>906</v>
      </c>
      <c r="F263" t="s">
        <v>894</v>
      </c>
    </row>
    <row r="264" spans="1:6" x14ac:dyDescent="0.25">
      <c r="A264" s="1">
        <v>45920</v>
      </c>
      <c r="B264">
        <v>2025</v>
      </c>
      <c r="C264" t="s">
        <v>908</v>
      </c>
      <c r="D264">
        <v>20</v>
      </c>
      <c r="E264" t="s">
        <v>906</v>
      </c>
      <c r="F264" t="s">
        <v>895</v>
      </c>
    </row>
    <row r="265" spans="1:6" x14ac:dyDescent="0.25">
      <c r="A265" s="1">
        <v>45921</v>
      </c>
      <c r="B265">
        <v>2025</v>
      </c>
      <c r="C265" t="s">
        <v>908</v>
      </c>
      <c r="D265">
        <v>21</v>
      </c>
      <c r="E265" t="s">
        <v>906</v>
      </c>
      <c r="F265" t="s">
        <v>896</v>
      </c>
    </row>
    <row r="266" spans="1:6" x14ac:dyDescent="0.25">
      <c r="A266" s="1">
        <v>45922</v>
      </c>
      <c r="B266">
        <v>2025</v>
      </c>
      <c r="C266" t="s">
        <v>908</v>
      </c>
      <c r="D266">
        <v>22</v>
      </c>
      <c r="E266" t="s">
        <v>906</v>
      </c>
      <c r="F266" t="s">
        <v>897</v>
      </c>
    </row>
    <row r="267" spans="1:6" x14ac:dyDescent="0.25">
      <c r="A267" s="1">
        <v>45923</v>
      </c>
      <c r="B267">
        <v>2025</v>
      </c>
      <c r="C267" t="s">
        <v>908</v>
      </c>
      <c r="D267">
        <v>23</v>
      </c>
      <c r="E267" t="s">
        <v>906</v>
      </c>
      <c r="F267" t="s">
        <v>898</v>
      </c>
    </row>
    <row r="268" spans="1:6" x14ac:dyDescent="0.25">
      <c r="A268" s="1">
        <v>45924</v>
      </c>
      <c r="B268">
        <v>2025</v>
      </c>
      <c r="C268" t="s">
        <v>908</v>
      </c>
      <c r="D268">
        <v>24</v>
      </c>
      <c r="E268" t="s">
        <v>906</v>
      </c>
      <c r="F268" t="s">
        <v>892</v>
      </c>
    </row>
    <row r="269" spans="1:6" x14ac:dyDescent="0.25">
      <c r="A269" s="1">
        <v>45925</v>
      </c>
      <c r="B269">
        <v>2025</v>
      </c>
      <c r="C269" t="s">
        <v>908</v>
      </c>
      <c r="D269">
        <v>25</v>
      </c>
      <c r="E269" t="s">
        <v>906</v>
      </c>
      <c r="F269" t="s">
        <v>893</v>
      </c>
    </row>
    <row r="270" spans="1:6" x14ac:dyDescent="0.25">
      <c r="A270" s="1">
        <v>45926</v>
      </c>
      <c r="B270">
        <v>2025</v>
      </c>
      <c r="C270" t="s">
        <v>908</v>
      </c>
      <c r="D270">
        <v>26</v>
      </c>
      <c r="E270" t="s">
        <v>906</v>
      </c>
      <c r="F270" t="s">
        <v>894</v>
      </c>
    </row>
    <row r="271" spans="1:6" x14ac:dyDescent="0.25">
      <c r="A271" s="1">
        <v>45927</v>
      </c>
      <c r="B271">
        <v>2025</v>
      </c>
      <c r="C271" t="s">
        <v>908</v>
      </c>
      <c r="D271">
        <v>27</v>
      </c>
      <c r="E271" t="s">
        <v>906</v>
      </c>
      <c r="F271" t="s">
        <v>895</v>
      </c>
    </row>
    <row r="272" spans="1:6" x14ac:dyDescent="0.25">
      <c r="A272" s="1">
        <v>45928</v>
      </c>
      <c r="B272">
        <v>2025</v>
      </c>
      <c r="C272" t="s">
        <v>908</v>
      </c>
      <c r="D272">
        <v>28</v>
      </c>
      <c r="E272" t="s">
        <v>906</v>
      </c>
      <c r="F272" t="s">
        <v>896</v>
      </c>
    </row>
    <row r="273" spans="1:6" x14ac:dyDescent="0.25">
      <c r="A273" s="1">
        <v>45929</v>
      </c>
      <c r="B273">
        <v>2025</v>
      </c>
      <c r="C273" t="s">
        <v>908</v>
      </c>
      <c r="D273">
        <v>29</v>
      </c>
      <c r="E273" t="s">
        <v>906</v>
      </c>
      <c r="F273" t="s">
        <v>897</v>
      </c>
    </row>
    <row r="274" spans="1:6" x14ac:dyDescent="0.25">
      <c r="A274" s="1">
        <v>45930</v>
      </c>
      <c r="B274">
        <v>2025</v>
      </c>
      <c r="C274" t="s">
        <v>908</v>
      </c>
      <c r="D274">
        <v>30</v>
      </c>
      <c r="E274" t="s">
        <v>906</v>
      </c>
      <c r="F274" t="s">
        <v>898</v>
      </c>
    </row>
    <row r="275" spans="1:6" x14ac:dyDescent="0.25">
      <c r="A275" s="1">
        <v>45931</v>
      </c>
      <c r="B275">
        <v>2025</v>
      </c>
      <c r="C275" t="s">
        <v>909</v>
      </c>
      <c r="D275">
        <v>1</v>
      </c>
      <c r="E275" t="s">
        <v>910</v>
      </c>
      <c r="F275" t="s">
        <v>892</v>
      </c>
    </row>
    <row r="276" spans="1:6" x14ac:dyDescent="0.25">
      <c r="A276" s="1">
        <v>45932</v>
      </c>
      <c r="B276">
        <v>2025</v>
      </c>
      <c r="C276" t="s">
        <v>909</v>
      </c>
      <c r="D276">
        <v>2</v>
      </c>
      <c r="E276" t="s">
        <v>910</v>
      </c>
      <c r="F276" t="s">
        <v>893</v>
      </c>
    </row>
    <row r="277" spans="1:6" x14ac:dyDescent="0.25">
      <c r="A277" s="1">
        <v>45933</v>
      </c>
      <c r="B277">
        <v>2025</v>
      </c>
      <c r="C277" t="s">
        <v>909</v>
      </c>
      <c r="D277">
        <v>3</v>
      </c>
      <c r="E277" t="s">
        <v>910</v>
      </c>
      <c r="F277" t="s">
        <v>894</v>
      </c>
    </row>
    <row r="278" spans="1:6" x14ac:dyDescent="0.25">
      <c r="A278" s="1">
        <v>45934</v>
      </c>
      <c r="B278">
        <v>2025</v>
      </c>
      <c r="C278" t="s">
        <v>909</v>
      </c>
      <c r="D278">
        <v>4</v>
      </c>
      <c r="E278" t="s">
        <v>910</v>
      </c>
      <c r="F278" t="s">
        <v>895</v>
      </c>
    </row>
    <row r="279" spans="1:6" x14ac:dyDescent="0.25">
      <c r="A279" s="1">
        <v>45935</v>
      </c>
      <c r="B279">
        <v>2025</v>
      </c>
      <c r="C279" t="s">
        <v>909</v>
      </c>
      <c r="D279">
        <v>5</v>
      </c>
      <c r="E279" t="s">
        <v>910</v>
      </c>
      <c r="F279" t="s">
        <v>896</v>
      </c>
    </row>
    <row r="280" spans="1:6" x14ac:dyDescent="0.25">
      <c r="A280" s="1">
        <v>45936</v>
      </c>
      <c r="B280">
        <v>2025</v>
      </c>
      <c r="C280" t="s">
        <v>909</v>
      </c>
      <c r="D280">
        <v>6</v>
      </c>
      <c r="E280" t="s">
        <v>910</v>
      </c>
      <c r="F280" t="s">
        <v>897</v>
      </c>
    </row>
    <row r="281" spans="1:6" x14ac:dyDescent="0.25">
      <c r="A281" s="1">
        <v>45937</v>
      </c>
      <c r="B281">
        <v>2025</v>
      </c>
      <c r="C281" t="s">
        <v>909</v>
      </c>
      <c r="D281">
        <v>7</v>
      </c>
      <c r="E281" t="s">
        <v>910</v>
      </c>
      <c r="F281" t="s">
        <v>898</v>
      </c>
    </row>
    <row r="282" spans="1:6" x14ac:dyDescent="0.25">
      <c r="A282" s="1">
        <v>45938</v>
      </c>
      <c r="B282">
        <v>2025</v>
      </c>
      <c r="C282" t="s">
        <v>909</v>
      </c>
      <c r="D282">
        <v>8</v>
      </c>
      <c r="E282" t="s">
        <v>910</v>
      </c>
      <c r="F282" t="s">
        <v>892</v>
      </c>
    </row>
    <row r="283" spans="1:6" x14ac:dyDescent="0.25">
      <c r="A283" s="1">
        <v>45939</v>
      </c>
      <c r="B283">
        <v>2025</v>
      </c>
      <c r="C283" t="s">
        <v>909</v>
      </c>
      <c r="D283">
        <v>9</v>
      </c>
      <c r="E283" t="s">
        <v>910</v>
      </c>
      <c r="F283" t="s">
        <v>893</v>
      </c>
    </row>
    <row r="284" spans="1:6" x14ac:dyDescent="0.25">
      <c r="A284" s="1">
        <v>45940</v>
      </c>
      <c r="B284">
        <v>2025</v>
      </c>
      <c r="C284" t="s">
        <v>909</v>
      </c>
      <c r="D284">
        <v>10</v>
      </c>
      <c r="E284" t="s">
        <v>910</v>
      </c>
      <c r="F284" t="s">
        <v>894</v>
      </c>
    </row>
    <row r="285" spans="1:6" x14ac:dyDescent="0.25">
      <c r="A285" s="1">
        <v>45941</v>
      </c>
      <c r="B285">
        <v>2025</v>
      </c>
      <c r="C285" t="s">
        <v>909</v>
      </c>
      <c r="D285">
        <v>11</v>
      </c>
      <c r="E285" t="s">
        <v>910</v>
      </c>
      <c r="F285" t="s">
        <v>895</v>
      </c>
    </row>
    <row r="286" spans="1:6" x14ac:dyDescent="0.25">
      <c r="A286" s="1">
        <v>45942</v>
      </c>
      <c r="B286">
        <v>2025</v>
      </c>
      <c r="C286" t="s">
        <v>909</v>
      </c>
      <c r="D286">
        <v>12</v>
      </c>
      <c r="E286" t="s">
        <v>910</v>
      </c>
      <c r="F286" t="s">
        <v>896</v>
      </c>
    </row>
    <row r="287" spans="1:6" x14ac:dyDescent="0.25">
      <c r="A287" s="1">
        <v>45943</v>
      </c>
      <c r="B287">
        <v>2025</v>
      </c>
      <c r="C287" t="s">
        <v>909</v>
      </c>
      <c r="D287">
        <v>13</v>
      </c>
      <c r="E287" t="s">
        <v>910</v>
      </c>
      <c r="F287" t="s">
        <v>897</v>
      </c>
    </row>
    <row r="288" spans="1:6" x14ac:dyDescent="0.25">
      <c r="A288" s="1">
        <v>45944</v>
      </c>
      <c r="B288">
        <v>2025</v>
      </c>
      <c r="C288" t="s">
        <v>909</v>
      </c>
      <c r="D288">
        <v>14</v>
      </c>
      <c r="E288" t="s">
        <v>910</v>
      </c>
      <c r="F288" t="s">
        <v>898</v>
      </c>
    </row>
    <row r="289" spans="1:6" x14ac:dyDescent="0.25">
      <c r="A289" s="1">
        <v>45945</v>
      </c>
      <c r="B289">
        <v>2025</v>
      </c>
      <c r="C289" t="s">
        <v>909</v>
      </c>
      <c r="D289">
        <v>15</v>
      </c>
      <c r="E289" t="s">
        <v>910</v>
      </c>
      <c r="F289" t="s">
        <v>892</v>
      </c>
    </row>
    <row r="290" spans="1:6" x14ac:dyDescent="0.25">
      <c r="A290" s="1">
        <v>45946</v>
      </c>
      <c r="B290">
        <v>2025</v>
      </c>
      <c r="C290" t="s">
        <v>909</v>
      </c>
      <c r="D290">
        <v>16</v>
      </c>
      <c r="E290" t="s">
        <v>910</v>
      </c>
      <c r="F290" t="s">
        <v>893</v>
      </c>
    </row>
    <row r="291" spans="1:6" x14ac:dyDescent="0.25">
      <c r="A291" s="1">
        <v>45947</v>
      </c>
      <c r="B291">
        <v>2025</v>
      </c>
      <c r="C291" t="s">
        <v>909</v>
      </c>
      <c r="D291">
        <v>17</v>
      </c>
      <c r="E291" t="s">
        <v>910</v>
      </c>
      <c r="F291" t="s">
        <v>894</v>
      </c>
    </row>
    <row r="292" spans="1:6" x14ac:dyDescent="0.25">
      <c r="A292" s="1">
        <v>45948</v>
      </c>
      <c r="B292">
        <v>2025</v>
      </c>
      <c r="C292" t="s">
        <v>909</v>
      </c>
      <c r="D292">
        <v>18</v>
      </c>
      <c r="E292" t="s">
        <v>910</v>
      </c>
      <c r="F292" t="s">
        <v>895</v>
      </c>
    </row>
    <row r="293" spans="1:6" x14ac:dyDescent="0.25">
      <c r="A293" s="1">
        <v>45949</v>
      </c>
      <c r="B293">
        <v>2025</v>
      </c>
      <c r="C293" t="s">
        <v>909</v>
      </c>
      <c r="D293">
        <v>19</v>
      </c>
      <c r="E293" t="s">
        <v>910</v>
      </c>
      <c r="F293" t="s">
        <v>896</v>
      </c>
    </row>
    <row r="294" spans="1:6" x14ac:dyDescent="0.25">
      <c r="A294" s="1">
        <v>45950</v>
      </c>
      <c r="B294">
        <v>2025</v>
      </c>
      <c r="C294" t="s">
        <v>909</v>
      </c>
      <c r="D294">
        <v>20</v>
      </c>
      <c r="E294" t="s">
        <v>910</v>
      </c>
      <c r="F294" t="s">
        <v>897</v>
      </c>
    </row>
    <row r="295" spans="1:6" x14ac:dyDescent="0.25">
      <c r="A295" s="1">
        <v>45951</v>
      </c>
      <c r="B295">
        <v>2025</v>
      </c>
      <c r="C295" t="s">
        <v>909</v>
      </c>
      <c r="D295">
        <v>21</v>
      </c>
      <c r="E295" t="s">
        <v>910</v>
      </c>
      <c r="F295" t="s">
        <v>898</v>
      </c>
    </row>
    <row r="296" spans="1:6" x14ac:dyDescent="0.25">
      <c r="A296" s="1">
        <v>45952</v>
      </c>
      <c r="B296">
        <v>2025</v>
      </c>
      <c r="C296" t="s">
        <v>909</v>
      </c>
      <c r="D296">
        <v>22</v>
      </c>
      <c r="E296" t="s">
        <v>910</v>
      </c>
      <c r="F296" t="s">
        <v>892</v>
      </c>
    </row>
    <row r="297" spans="1:6" x14ac:dyDescent="0.25">
      <c r="A297" s="1">
        <v>45953</v>
      </c>
      <c r="B297">
        <v>2025</v>
      </c>
      <c r="C297" t="s">
        <v>909</v>
      </c>
      <c r="D297">
        <v>23</v>
      </c>
      <c r="E297" t="s">
        <v>910</v>
      </c>
      <c r="F297" t="s">
        <v>893</v>
      </c>
    </row>
    <row r="298" spans="1:6" x14ac:dyDescent="0.25">
      <c r="A298" s="1">
        <v>45954</v>
      </c>
      <c r="B298">
        <v>2025</v>
      </c>
      <c r="C298" t="s">
        <v>909</v>
      </c>
      <c r="D298">
        <v>24</v>
      </c>
      <c r="E298" t="s">
        <v>910</v>
      </c>
      <c r="F298" t="s">
        <v>894</v>
      </c>
    </row>
    <row r="299" spans="1:6" x14ac:dyDescent="0.25">
      <c r="A299" s="1">
        <v>45955</v>
      </c>
      <c r="B299">
        <v>2025</v>
      </c>
      <c r="C299" t="s">
        <v>909</v>
      </c>
      <c r="D299">
        <v>25</v>
      </c>
      <c r="E299" t="s">
        <v>910</v>
      </c>
      <c r="F299" t="s">
        <v>895</v>
      </c>
    </row>
    <row r="300" spans="1:6" x14ac:dyDescent="0.25">
      <c r="A300" s="1">
        <v>45956</v>
      </c>
      <c r="B300">
        <v>2025</v>
      </c>
      <c r="C300" t="s">
        <v>909</v>
      </c>
      <c r="D300">
        <v>26</v>
      </c>
      <c r="E300" t="s">
        <v>910</v>
      </c>
      <c r="F300" t="s">
        <v>896</v>
      </c>
    </row>
    <row r="301" spans="1:6" x14ac:dyDescent="0.25">
      <c r="A301" s="1">
        <v>45957</v>
      </c>
      <c r="B301">
        <v>2025</v>
      </c>
      <c r="C301" t="s">
        <v>909</v>
      </c>
      <c r="D301">
        <v>27</v>
      </c>
      <c r="E301" t="s">
        <v>910</v>
      </c>
      <c r="F301" t="s">
        <v>897</v>
      </c>
    </row>
    <row r="302" spans="1:6" x14ac:dyDescent="0.25">
      <c r="A302" s="1">
        <v>45958</v>
      </c>
      <c r="B302">
        <v>2025</v>
      </c>
      <c r="C302" t="s">
        <v>909</v>
      </c>
      <c r="D302">
        <v>28</v>
      </c>
      <c r="E302" t="s">
        <v>910</v>
      </c>
      <c r="F302" t="s">
        <v>898</v>
      </c>
    </row>
    <row r="303" spans="1:6" x14ac:dyDescent="0.25">
      <c r="A303" s="1">
        <v>45959</v>
      </c>
      <c r="B303">
        <v>2025</v>
      </c>
      <c r="C303" t="s">
        <v>909</v>
      </c>
      <c r="D303">
        <v>29</v>
      </c>
      <c r="E303" t="s">
        <v>910</v>
      </c>
      <c r="F303" t="s">
        <v>892</v>
      </c>
    </row>
    <row r="304" spans="1:6" x14ac:dyDescent="0.25">
      <c r="A304" s="1">
        <v>45960</v>
      </c>
      <c r="B304">
        <v>2025</v>
      </c>
      <c r="C304" t="s">
        <v>909</v>
      </c>
      <c r="D304">
        <v>30</v>
      </c>
      <c r="E304" t="s">
        <v>910</v>
      </c>
      <c r="F304" t="s">
        <v>893</v>
      </c>
    </row>
    <row r="305" spans="1:6" x14ac:dyDescent="0.25">
      <c r="A305" s="1">
        <v>45961</v>
      </c>
      <c r="B305">
        <v>2025</v>
      </c>
      <c r="C305" t="s">
        <v>909</v>
      </c>
      <c r="D305">
        <v>31</v>
      </c>
      <c r="E305" t="s">
        <v>910</v>
      </c>
      <c r="F305" t="s">
        <v>894</v>
      </c>
    </row>
    <row r="306" spans="1:6" x14ac:dyDescent="0.25">
      <c r="A306" s="1">
        <v>45962</v>
      </c>
      <c r="B306">
        <v>2025</v>
      </c>
      <c r="C306" t="s">
        <v>911</v>
      </c>
      <c r="D306">
        <v>1</v>
      </c>
      <c r="E306" t="s">
        <v>910</v>
      </c>
      <c r="F306" t="s">
        <v>895</v>
      </c>
    </row>
    <row r="307" spans="1:6" x14ac:dyDescent="0.25">
      <c r="A307" s="1">
        <v>45963</v>
      </c>
      <c r="B307">
        <v>2025</v>
      </c>
      <c r="C307" t="s">
        <v>911</v>
      </c>
      <c r="D307">
        <v>2</v>
      </c>
      <c r="E307" t="s">
        <v>910</v>
      </c>
      <c r="F307" t="s">
        <v>896</v>
      </c>
    </row>
    <row r="308" spans="1:6" x14ac:dyDescent="0.25">
      <c r="A308" s="1">
        <v>45964</v>
      </c>
      <c r="B308">
        <v>2025</v>
      </c>
      <c r="C308" t="s">
        <v>911</v>
      </c>
      <c r="D308">
        <v>3</v>
      </c>
      <c r="E308" t="s">
        <v>910</v>
      </c>
      <c r="F308" t="s">
        <v>897</v>
      </c>
    </row>
    <row r="309" spans="1:6" x14ac:dyDescent="0.25">
      <c r="A309" s="1">
        <v>45965</v>
      </c>
      <c r="B309">
        <v>2025</v>
      </c>
      <c r="C309" t="s">
        <v>911</v>
      </c>
      <c r="D309">
        <v>4</v>
      </c>
      <c r="E309" t="s">
        <v>910</v>
      </c>
      <c r="F309" t="s">
        <v>898</v>
      </c>
    </row>
    <row r="310" spans="1:6" x14ac:dyDescent="0.25">
      <c r="A310" s="1">
        <v>45966</v>
      </c>
      <c r="B310">
        <v>2025</v>
      </c>
      <c r="C310" t="s">
        <v>911</v>
      </c>
      <c r="D310">
        <v>5</v>
      </c>
      <c r="E310" t="s">
        <v>910</v>
      </c>
      <c r="F310" t="s">
        <v>892</v>
      </c>
    </row>
    <row r="311" spans="1:6" x14ac:dyDescent="0.25">
      <c r="A311" s="1">
        <v>45967</v>
      </c>
      <c r="B311">
        <v>2025</v>
      </c>
      <c r="C311" t="s">
        <v>911</v>
      </c>
      <c r="D311">
        <v>6</v>
      </c>
      <c r="E311" t="s">
        <v>910</v>
      </c>
      <c r="F311" t="s">
        <v>893</v>
      </c>
    </row>
    <row r="312" spans="1:6" x14ac:dyDescent="0.25">
      <c r="A312" s="1">
        <v>45968</v>
      </c>
      <c r="B312">
        <v>2025</v>
      </c>
      <c r="C312" t="s">
        <v>911</v>
      </c>
      <c r="D312">
        <v>7</v>
      </c>
      <c r="E312" t="s">
        <v>910</v>
      </c>
      <c r="F312" t="s">
        <v>894</v>
      </c>
    </row>
    <row r="313" spans="1:6" x14ac:dyDescent="0.25">
      <c r="A313" s="1">
        <v>45969</v>
      </c>
      <c r="B313">
        <v>2025</v>
      </c>
      <c r="C313" t="s">
        <v>911</v>
      </c>
      <c r="D313">
        <v>8</v>
      </c>
      <c r="E313" t="s">
        <v>910</v>
      </c>
      <c r="F313" t="s">
        <v>895</v>
      </c>
    </row>
    <row r="314" spans="1:6" x14ac:dyDescent="0.25">
      <c r="A314" s="1">
        <v>45970</v>
      </c>
      <c r="B314">
        <v>2025</v>
      </c>
      <c r="C314" t="s">
        <v>911</v>
      </c>
      <c r="D314">
        <v>9</v>
      </c>
      <c r="E314" t="s">
        <v>910</v>
      </c>
      <c r="F314" t="s">
        <v>896</v>
      </c>
    </row>
    <row r="315" spans="1:6" x14ac:dyDescent="0.25">
      <c r="A315" s="1">
        <v>45971</v>
      </c>
      <c r="B315">
        <v>2025</v>
      </c>
      <c r="C315" t="s">
        <v>911</v>
      </c>
      <c r="D315">
        <v>10</v>
      </c>
      <c r="E315" t="s">
        <v>910</v>
      </c>
      <c r="F315" t="s">
        <v>897</v>
      </c>
    </row>
    <row r="316" spans="1:6" x14ac:dyDescent="0.25">
      <c r="A316" s="1">
        <v>45972</v>
      </c>
      <c r="B316">
        <v>2025</v>
      </c>
      <c r="C316" t="s">
        <v>911</v>
      </c>
      <c r="D316">
        <v>11</v>
      </c>
      <c r="E316" t="s">
        <v>910</v>
      </c>
      <c r="F316" t="s">
        <v>898</v>
      </c>
    </row>
    <row r="317" spans="1:6" x14ac:dyDescent="0.25">
      <c r="A317" s="1">
        <v>45973</v>
      </c>
      <c r="B317">
        <v>2025</v>
      </c>
      <c r="C317" t="s">
        <v>911</v>
      </c>
      <c r="D317">
        <v>12</v>
      </c>
      <c r="E317" t="s">
        <v>910</v>
      </c>
      <c r="F317" t="s">
        <v>892</v>
      </c>
    </row>
    <row r="318" spans="1:6" x14ac:dyDescent="0.25">
      <c r="A318" s="1">
        <v>45974</v>
      </c>
      <c r="B318">
        <v>2025</v>
      </c>
      <c r="C318" t="s">
        <v>911</v>
      </c>
      <c r="D318">
        <v>13</v>
      </c>
      <c r="E318" t="s">
        <v>910</v>
      </c>
      <c r="F318" t="s">
        <v>893</v>
      </c>
    </row>
    <row r="319" spans="1:6" x14ac:dyDescent="0.25">
      <c r="A319" s="1">
        <v>45975</v>
      </c>
      <c r="B319">
        <v>2025</v>
      </c>
      <c r="C319" t="s">
        <v>911</v>
      </c>
      <c r="D319">
        <v>14</v>
      </c>
      <c r="E319" t="s">
        <v>910</v>
      </c>
      <c r="F319" t="s">
        <v>894</v>
      </c>
    </row>
    <row r="320" spans="1:6" x14ac:dyDescent="0.25">
      <c r="A320" s="1">
        <v>45976</v>
      </c>
      <c r="B320">
        <v>2025</v>
      </c>
      <c r="C320" t="s">
        <v>911</v>
      </c>
      <c r="D320">
        <v>15</v>
      </c>
      <c r="E320" t="s">
        <v>910</v>
      </c>
      <c r="F320" t="s">
        <v>895</v>
      </c>
    </row>
    <row r="321" spans="1:6" x14ac:dyDescent="0.25">
      <c r="A321" s="1">
        <v>45977</v>
      </c>
      <c r="B321">
        <v>2025</v>
      </c>
      <c r="C321" t="s">
        <v>911</v>
      </c>
      <c r="D321">
        <v>16</v>
      </c>
      <c r="E321" t="s">
        <v>910</v>
      </c>
      <c r="F321" t="s">
        <v>896</v>
      </c>
    </row>
    <row r="322" spans="1:6" x14ac:dyDescent="0.25">
      <c r="A322" s="1">
        <v>45978</v>
      </c>
      <c r="B322">
        <v>2025</v>
      </c>
      <c r="C322" t="s">
        <v>911</v>
      </c>
      <c r="D322">
        <v>17</v>
      </c>
      <c r="E322" t="s">
        <v>910</v>
      </c>
      <c r="F322" t="s">
        <v>897</v>
      </c>
    </row>
    <row r="323" spans="1:6" x14ac:dyDescent="0.25">
      <c r="A323" s="1">
        <v>45979</v>
      </c>
      <c r="B323">
        <v>2025</v>
      </c>
      <c r="C323" t="s">
        <v>911</v>
      </c>
      <c r="D323">
        <v>18</v>
      </c>
      <c r="E323" t="s">
        <v>910</v>
      </c>
      <c r="F323" t="s">
        <v>898</v>
      </c>
    </row>
    <row r="324" spans="1:6" x14ac:dyDescent="0.25">
      <c r="A324" s="1">
        <v>45980</v>
      </c>
      <c r="B324">
        <v>2025</v>
      </c>
      <c r="C324" t="s">
        <v>911</v>
      </c>
      <c r="D324">
        <v>19</v>
      </c>
      <c r="E324" t="s">
        <v>910</v>
      </c>
      <c r="F324" t="s">
        <v>892</v>
      </c>
    </row>
    <row r="325" spans="1:6" x14ac:dyDescent="0.25">
      <c r="A325" s="1">
        <v>45981</v>
      </c>
      <c r="B325">
        <v>2025</v>
      </c>
      <c r="C325" t="s">
        <v>911</v>
      </c>
      <c r="D325">
        <v>20</v>
      </c>
      <c r="E325" t="s">
        <v>910</v>
      </c>
      <c r="F325" t="s">
        <v>893</v>
      </c>
    </row>
    <row r="326" spans="1:6" x14ac:dyDescent="0.25">
      <c r="A326" s="1">
        <v>45982</v>
      </c>
      <c r="B326">
        <v>2025</v>
      </c>
      <c r="C326" t="s">
        <v>911</v>
      </c>
      <c r="D326">
        <v>21</v>
      </c>
      <c r="E326" t="s">
        <v>910</v>
      </c>
      <c r="F326" t="s">
        <v>894</v>
      </c>
    </row>
    <row r="327" spans="1:6" x14ac:dyDescent="0.25">
      <c r="A327" s="1">
        <v>45983</v>
      </c>
      <c r="B327">
        <v>2025</v>
      </c>
      <c r="C327" t="s">
        <v>911</v>
      </c>
      <c r="D327">
        <v>22</v>
      </c>
      <c r="E327" t="s">
        <v>910</v>
      </c>
      <c r="F327" t="s">
        <v>895</v>
      </c>
    </row>
    <row r="328" spans="1:6" x14ac:dyDescent="0.25">
      <c r="A328" s="1">
        <v>45984</v>
      </c>
      <c r="B328">
        <v>2025</v>
      </c>
      <c r="C328" t="s">
        <v>911</v>
      </c>
      <c r="D328">
        <v>23</v>
      </c>
      <c r="E328" t="s">
        <v>910</v>
      </c>
      <c r="F328" t="s">
        <v>896</v>
      </c>
    </row>
    <row r="329" spans="1:6" x14ac:dyDescent="0.25">
      <c r="A329" s="1">
        <v>45985</v>
      </c>
      <c r="B329">
        <v>2025</v>
      </c>
      <c r="C329" t="s">
        <v>911</v>
      </c>
      <c r="D329">
        <v>24</v>
      </c>
      <c r="E329" t="s">
        <v>910</v>
      </c>
      <c r="F329" t="s">
        <v>897</v>
      </c>
    </row>
    <row r="330" spans="1:6" x14ac:dyDescent="0.25">
      <c r="A330" s="1">
        <v>45986</v>
      </c>
      <c r="B330">
        <v>2025</v>
      </c>
      <c r="C330" t="s">
        <v>911</v>
      </c>
      <c r="D330">
        <v>25</v>
      </c>
      <c r="E330" t="s">
        <v>910</v>
      </c>
      <c r="F330" t="s">
        <v>898</v>
      </c>
    </row>
    <row r="331" spans="1:6" x14ac:dyDescent="0.25">
      <c r="A331" s="1">
        <v>45987</v>
      </c>
      <c r="B331">
        <v>2025</v>
      </c>
      <c r="C331" t="s">
        <v>911</v>
      </c>
      <c r="D331">
        <v>26</v>
      </c>
      <c r="E331" t="s">
        <v>910</v>
      </c>
      <c r="F331" t="s">
        <v>892</v>
      </c>
    </row>
    <row r="332" spans="1:6" x14ac:dyDescent="0.25">
      <c r="A332" s="1">
        <v>45988</v>
      </c>
      <c r="B332">
        <v>2025</v>
      </c>
      <c r="C332" t="s">
        <v>911</v>
      </c>
      <c r="D332">
        <v>27</v>
      </c>
      <c r="E332" t="s">
        <v>910</v>
      </c>
      <c r="F332" t="s">
        <v>893</v>
      </c>
    </row>
    <row r="333" spans="1:6" x14ac:dyDescent="0.25">
      <c r="A333" s="1">
        <v>45989</v>
      </c>
      <c r="B333">
        <v>2025</v>
      </c>
      <c r="C333" t="s">
        <v>911</v>
      </c>
      <c r="D333">
        <v>28</v>
      </c>
      <c r="E333" t="s">
        <v>910</v>
      </c>
      <c r="F333" t="s">
        <v>894</v>
      </c>
    </row>
    <row r="334" spans="1:6" x14ac:dyDescent="0.25">
      <c r="A334" s="1">
        <v>45990</v>
      </c>
      <c r="B334">
        <v>2025</v>
      </c>
      <c r="C334" t="s">
        <v>911</v>
      </c>
      <c r="D334">
        <v>29</v>
      </c>
      <c r="E334" t="s">
        <v>910</v>
      </c>
      <c r="F334" t="s">
        <v>895</v>
      </c>
    </row>
    <row r="335" spans="1:6" x14ac:dyDescent="0.25">
      <c r="A335" s="1">
        <v>45991</v>
      </c>
      <c r="B335">
        <v>2025</v>
      </c>
      <c r="C335" t="s">
        <v>911</v>
      </c>
      <c r="D335">
        <v>30</v>
      </c>
      <c r="E335" t="s">
        <v>910</v>
      </c>
      <c r="F335" t="s">
        <v>896</v>
      </c>
    </row>
    <row r="336" spans="1:6" x14ac:dyDescent="0.25">
      <c r="A336" s="1">
        <v>45992</v>
      </c>
      <c r="B336">
        <v>2025</v>
      </c>
      <c r="C336" t="s">
        <v>912</v>
      </c>
      <c r="D336">
        <v>1</v>
      </c>
      <c r="E336" t="s">
        <v>910</v>
      </c>
      <c r="F336" t="s">
        <v>897</v>
      </c>
    </row>
    <row r="337" spans="1:6" x14ac:dyDescent="0.25">
      <c r="A337" s="1">
        <v>45993</v>
      </c>
      <c r="B337">
        <v>2025</v>
      </c>
      <c r="C337" t="s">
        <v>912</v>
      </c>
      <c r="D337">
        <v>2</v>
      </c>
      <c r="E337" t="s">
        <v>910</v>
      </c>
      <c r="F337" t="s">
        <v>898</v>
      </c>
    </row>
    <row r="338" spans="1:6" x14ac:dyDescent="0.25">
      <c r="A338" s="1">
        <v>45994</v>
      </c>
      <c r="B338">
        <v>2025</v>
      </c>
      <c r="C338" t="s">
        <v>912</v>
      </c>
      <c r="D338">
        <v>3</v>
      </c>
      <c r="E338" t="s">
        <v>910</v>
      </c>
      <c r="F338" t="s">
        <v>892</v>
      </c>
    </row>
    <row r="339" spans="1:6" x14ac:dyDescent="0.25">
      <c r="A339" s="1">
        <v>45995</v>
      </c>
      <c r="B339">
        <v>2025</v>
      </c>
      <c r="C339" t="s">
        <v>912</v>
      </c>
      <c r="D339">
        <v>4</v>
      </c>
      <c r="E339" t="s">
        <v>910</v>
      </c>
      <c r="F339" t="s">
        <v>893</v>
      </c>
    </row>
    <row r="340" spans="1:6" x14ac:dyDescent="0.25">
      <c r="A340" s="1">
        <v>45996</v>
      </c>
      <c r="B340">
        <v>2025</v>
      </c>
      <c r="C340" t="s">
        <v>912</v>
      </c>
      <c r="D340">
        <v>5</v>
      </c>
      <c r="E340" t="s">
        <v>910</v>
      </c>
      <c r="F340" t="s">
        <v>894</v>
      </c>
    </row>
    <row r="341" spans="1:6" x14ac:dyDescent="0.25">
      <c r="A341" s="1">
        <v>45997</v>
      </c>
      <c r="B341">
        <v>2025</v>
      </c>
      <c r="C341" t="s">
        <v>912</v>
      </c>
      <c r="D341">
        <v>6</v>
      </c>
      <c r="E341" t="s">
        <v>910</v>
      </c>
      <c r="F341" t="s">
        <v>895</v>
      </c>
    </row>
    <row r="342" spans="1:6" x14ac:dyDescent="0.25">
      <c r="A342" s="1">
        <v>45998</v>
      </c>
      <c r="B342">
        <v>2025</v>
      </c>
      <c r="C342" t="s">
        <v>912</v>
      </c>
      <c r="D342">
        <v>7</v>
      </c>
      <c r="E342" t="s">
        <v>910</v>
      </c>
      <c r="F342" t="s">
        <v>896</v>
      </c>
    </row>
    <row r="343" spans="1:6" x14ac:dyDescent="0.25">
      <c r="A343" s="1">
        <v>45999</v>
      </c>
      <c r="B343">
        <v>2025</v>
      </c>
      <c r="C343" t="s">
        <v>912</v>
      </c>
      <c r="D343">
        <v>8</v>
      </c>
      <c r="E343" t="s">
        <v>910</v>
      </c>
      <c r="F343" t="s">
        <v>897</v>
      </c>
    </row>
    <row r="344" spans="1:6" x14ac:dyDescent="0.25">
      <c r="A344" s="1">
        <v>46000</v>
      </c>
      <c r="B344">
        <v>2025</v>
      </c>
      <c r="C344" t="s">
        <v>912</v>
      </c>
      <c r="D344">
        <v>9</v>
      </c>
      <c r="E344" t="s">
        <v>910</v>
      </c>
      <c r="F344" t="s">
        <v>898</v>
      </c>
    </row>
    <row r="345" spans="1:6" x14ac:dyDescent="0.25">
      <c r="A345" s="1">
        <v>46001</v>
      </c>
      <c r="B345">
        <v>2025</v>
      </c>
      <c r="C345" t="s">
        <v>912</v>
      </c>
      <c r="D345">
        <v>10</v>
      </c>
      <c r="E345" t="s">
        <v>910</v>
      </c>
      <c r="F345" t="s">
        <v>892</v>
      </c>
    </row>
    <row r="346" spans="1:6" x14ac:dyDescent="0.25">
      <c r="A346" s="1">
        <v>46002</v>
      </c>
      <c r="B346">
        <v>2025</v>
      </c>
      <c r="C346" t="s">
        <v>912</v>
      </c>
      <c r="D346">
        <v>11</v>
      </c>
      <c r="E346" t="s">
        <v>910</v>
      </c>
      <c r="F346" t="s">
        <v>893</v>
      </c>
    </row>
    <row r="347" spans="1:6" x14ac:dyDescent="0.25">
      <c r="A347" s="1">
        <v>46003</v>
      </c>
      <c r="B347">
        <v>2025</v>
      </c>
      <c r="C347" t="s">
        <v>912</v>
      </c>
      <c r="D347">
        <v>12</v>
      </c>
      <c r="E347" t="s">
        <v>910</v>
      </c>
      <c r="F347" t="s">
        <v>894</v>
      </c>
    </row>
    <row r="348" spans="1:6" x14ac:dyDescent="0.25">
      <c r="A348" s="1">
        <v>46004</v>
      </c>
      <c r="B348">
        <v>2025</v>
      </c>
      <c r="C348" t="s">
        <v>912</v>
      </c>
      <c r="D348">
        <v>13</v>
      </c>
      <c r="E348" t="s">
        <v>910</v>
      </c>
      <c r="F348" t="s">
        <v>895</v>
      </c>
    </row>
    <row r="349" spans="1:6" x14ac:dyDescent="0.25">
      <c r="A349" s="1">
        <v>46005</v>
      </c>
      <c r="B349">
        <v>2025</v>
      </c>
      <c r="C349" t="s">
        <v>912</v>
      </c>
      <c r="D349">
        <v>14</v>
      </c>
      <c r="E349" t="s">
        <v>910</v>
      </c>
      <c r="F349" t="s">
        <v>896</v>
      </c>
    </row>
    <row r="350" spans="1:6" x14ac:dyDescent="0.25">
      <c r="A350" s="1">
        <v>46006</v>
      </c>
      <c r="B350">
        <v>2025</v>
      </c>
      <c r="C350" t="s">
        <v>912</v>
      </c>
      <c r="D350">
        <v>15</v>
      </c>
      <c r="E350" t="s">
        <v>910</v>
      </c>
      <c r="F350" t="s">
        <v>897</v>
      </c>
    </row>
    <row r="351" spans="1:6" x14ac:dyDescent="0.25">
      <c r="A351" s="1">
        <v>46007</v>
      </c>
      <c r="B351">
        <v>2025</v>
      </c>
      <c r="C351" t="s">
        <v>912</v>
      </c>
      <c r="D351">
        <v>16</v>
      </c>
      <c r="E351" t="s">
        <v>910</v>
      </c>
      <c r="F351" t="s">
        <v>898</v>
      </c>
    </row>
    <row r="352" spans="1:6" x14ac:dyDescent="0.25">
      <c r="A352" s="1">
        <v>46008</v>
      </c>
      <c r="B352">
        <v>2025</v>
      </c>
      <c r="C352" t="s">
        <v>912</v>
      </c>
      <c r="D352">
        <v>17</v>
      </c>
      <c r="E352" t="s">
        <v>910</v>
      </c>
      <c r="F352" t="s">
        <v>892</v>
      </c>
    </row>
    <row r="353" spans="1:6" x14ac:dyDescent="0.25">
      <c r="A353" s="1">
        <v>46009</v>
      </c>
      <c r="B353">
        <v>2025</v>
      </c>
      <c r="C353" t="s">
        <v>912</v>
      </c>
      <c r="D353">
        <v>18</v>
      </c>
      <c r="E353" t="s">
        <v>910</v>
      </c>
      <c r="F353" t="s">
        <v>893</v>
      </c>
    </row>
    <row r="354" spans="1:6" x14ac:dyDescent="0.25">
      <c r="A354" s="1">
        <v>46010</v>
      </c>
      <c r="B354">
        <v>2025</v>
      </c>
      <c r="C354" t="s">
        <v>912</v>
      </c>
      <c r="D354">
        <v>19</v>
      </c>
      <c r="E354" t="s">
        <v>910</v>
      </c>
      <c r="F354" t="s">
        <v>894</v>
      </c>
    </row>
    <row r="355" spans="1:6" x14ac:dyDescent="0.25">
      <c r="A355" s="1">
        <v>46011</v>
      </c>
      <c r="B355">
        <v>2025</v>
      </c>
      <c r="C355" t="s">
        <v>912</v>
      </c>
      <c r="D355">
        <v>20</v>
      </c>
      <c r="E355" t="s">
        <v>910</v>
      </c>
      <c r="F355" t="s">
        <v>895</v>
      </c>
    </row>
    <row r="356" spans="1:6" x14ac:dyDescent="0.25">
      <c r="A356" s="1">
        <v>46012</v>
      </c>
      <c r="B356">
        <v>2025</v>
      </c>
      <c r="C356" t="s">
        <v>912</v>
      </c>
      <c r="D356">
        <v>21</v>
      </c>
      <c r="E356" t="s">
        <v>910</v>
      </c>
      <c r="F356" t="s">
        <v>896</v>
      </c>
    </row>
    <row r="357" spans="1:6" x14ac:dyDescent="0.25">
      <c r="A357" s="1">
        <v>46013</v>
      </c>
      <c r="B357">
        <v>2025</v>
      </c>
      <c r="C357" t="s">
        <v>912</v>
      </c>
      <c r="D357">
        <v>22</v>
      </c>
      <c r="E357" t="s">
        <v>910</v>
      </c>
      <c r="F357" t="s">
        <v>897</v>
      </c>
    </row>
    <row r="358" spans="1:6" x14ac:dyDescent="0.25">
      <c r="A358" s="1">
        <v>46014</v>
      </c>
      <c r="B358">
        <v>2025</v>
      </c>
      <c r="C358" t="s">
        <v>912</v>
      </c>
      <c r="D358">
        <v>23</v>
      </c>
      <c r="E358" t="s">
        <v>910</v>
      </c>
      <c r="F358" t="s">
        <v>898</v>
      </c>
    </row>
    <row r="359" spans="1:6" x14ac:dyDescent="0.25">
      <c r="A359" s="1">
        <v>46015</v>
      </c>
      <c r="B359">
        <v>2025</v>
      </c>
      <c r="C359" t="s">
        <v>912</v>
      </c>
      <c r="D359">
        <v>24</v>
      </c>
      <c r="E359" t="s">
        <v>910</v>
      </c>
      <c r="F359" t="s">
        <v>892</v>
      </c>
    </row>
    <row r="360" spans="1:6" x14ac:dyDescent="0.25">
      <c r="A360" s="1">
        <v>46016</v>
      </c>
      <c r="B360">
        <v>2025</v>
      </c>
      <c r="C360" t="s">
        <v>912</v>
      </c>
      <c r="D360">
        <v>25</v>
      </c>
      <c r="E360" t="s">
        <v>910</v>
      </c>
      <c r="F360" t="s">
        <v>893</v>
      </c>
    </row>
    <row r="361" spans="1:6" x14ac:dyDescent="0.25">
      <c r="A361" s="1">
        <v>46017</v>
      </c>
      <c r="B361">
        <v>2025</v>
      </c>
      <c r="C361" t="s">
        <v>912</v>
      </c>
      <c r="D361">
        <v>26</v>
      </c>
      <c r="E361" t="s">
        <v>910</v>
      </c>
      <c r="F361" t="s">
        <v>894</v>
      </c>
    </row>
    <row r="362" spans="1:6" x14ac:dyDescent="0.25">
      <c r="A362" s="1">
        <v>46018</v>
      </c>
      <c r="B362">
        <v>2025</v>
      </c>
      <c r="C362" t="s">
        <v>912</v>
      </c>
      <c r="D362">
        <v>27</v>
      </c>
      <c r="E362" t="s">
        <v>910</v>
      </c>
      <c r="F362" t="s">
        <v>895</v>
      </c>
    </row>
    <row r="363" spans="1:6" x14ac:dyDescent="0.25">
      <c r="A363" s="1">
        <v>46019</v>
      </c>
      <c r="B363">
        <v>2025</v>
      </c>
      <c r="C363" t="s">
        <v>912</v>
      </c>
      <c r="D363">
        <v>28</v>
      </c>
      <c r="E363" t="s">
        <v>910</v>
      </c>
      <c r="F363" t="s">
        <v>896</v>
      </c>
    </row>
    <row r="364" spans="1:6" x14ac:dyDescent="0.25">
      <c r="A364" s="1">
        <v>46020</v>
      </c>
      <c r="B364">
        <v>2025</v>
      </c>
      <c r="C364" t="s">
        <v>912</v>
      </c>
      <c r="D364">
        <v>29</v>
      </c>
      <c r="E364" t="s">
        <v>910</v>
      </c>
      <c r="F364" t="s">
        <v>897</v>
      </c>
    </row>
    <row r="365" spans="1:6" x14ac:dyDescent="0.25">
      <c r="A365" s="1">
        <v>46021</v>
      </c>
      <c r="B365">
        <v>2025</v>
      </c>
      <c r="C365" t="s">
        <v>912</v>
      </c>
      <c r="D365">
        <v>30</v>
      </c>
      <c r="E365" t="s">
        <v>910</v>
      </c>
      <c r="F365" t="s">
        <v>898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C273-2F27-4F40-AF21-C59AF0ADF283}">
  <dimension ref="A1:M20"/>
  <sheetViews>
    <sheetView showGridLines="0" zoomScale="98" zoomScaleNormal="98" workbookViewId="0">
      <selection activeCell="I23" sqref="I23"/>
    </sheetView>
  </sheetViews>
  <sheetFormatPr defaultRowHeight="15" x14ac:dyDescent="0.25"/>
  <cols>
    <col min="1" max="1" width="11.5703125" customWidth="1"/>
    <col min="2" max="2" width="13.5703125" customWidth="1"/>
    <col min="3" max="3" width="4.42578125" customWidth="1"/>
    <col min="4" max="4" width="22.5703125" bestFit="1" customWidth="1"/>
    <col min="5" max="5" width="13.42578125" customWidth="1"/>
    <col min="6" max="6" width="4.28515625" customWidth="1"/>
    <col min="7" max="7" width="19.5703125" bestFit="1" customWidth="1"/>
    <col min="8" max="8" width="20.140625" bestFit="1" customWidth="1"/>
    <col min="9" max="9" width="13.42578125" customWidth="1"/>
    <col min="10" max="10" width="4" customWidth="1"/>
    <col min="11" max="11" width="20.140625" bestFit="1" customWidth="1"/>
    <col min="12" max="12" width="14" customWidth="1"/>
    <col min="13" max="13" width="16.85546875" customWidth="1"/>
  </cols>
  <sheetData>
    <row r="1" spans="1:13" x14ac:dyDescent="0.25">
      <c r="C1" s="29" t="s">
        <v>955</v>
      </c>
      <c r="D1" s="29"/>
      <c r="E1" s="29"/>
      <c r="F1" s="29"/>
      <c r="G1" s="29"/>
      <c r="H1" s="29"/>
      <c r="I1" s="29"/>
      <c r="J1" s="29"/>
      <c r="K1" s="29"/>
      <c r="L1" s="29"/>
      <c r="M1" s="29"/>
    </row>
    <row r="2" spans="1:13" x14ac:dyDescent="0.25">
      <c r="C2" s="29"/>
      <c r="D2" s="29"/>
      <c r="E2" s="29"/>
      <c r="F2" s="29"/>
      <c r="G2" s="29"/>
      <c r="H2" s="29"/>
      <c r="I2" s="29"/>
      <c r="J2" s="29"/>
      <c r="K2" s="29"/>
      <c r="L2" s="29"/>
      <c r="M2" s="29"/>
    </row>
    <row r="3" spans="1:13" x14ac:dyDescent="0.25">
      <c r="C3" s="29"/>
      <c r="D3" s="29"/>
      <c r="E3" s="29"/>
      <c r="F3" s="29"/>
      <c r="G3" s="29"/>
      <c r="H3" s="29"/>
      <c r="I3" s="29"/>
      <c r="J3" s="29"/>
      <c r="K3" s="29"/>
      <c r="L3" s="29"/>
      <c r="M3" s="29"/>
    </row>
    <row r="4" spans="1:13" ht="36" x14ac:dyDescent="0.55000000000000004">
      <c r="C4" s="27"/>
      <c r="D4" s="27"/>
      <c r="E4" s="27"/>
      <c r="F4" s="27"/>
      <c r="G4" s="27"/>
      <c r="H4" s="27"/>
      <c r="I4" s="27"/>
      <c r="J4" s="27"/>
      <c r="K4" s="27"/>
      <c r="L4" s="27"/>
      <c r="M4" s="27"/>
    </row>
    <row r="5" spans="1:13" ht="18.75" x14ac:dyDescent="0.3">
      <c r="A5" s="28" t="s">
        <v>943</v>
      </c>
      <c r="B5" s="28"/>
      <c r="D5" s="28" t="s">
        <v>944</v>
      </c>
      <c r="E5" s="28"/>
      <c r="G5" s="28" t="s">
        <v>945</v>
      </c>
      <c r="H5" s="28"/>
      <c r="K5" s="28" t="s">
        <v>946</v>
      </c>
      <c r="L5" s="28"/>
    </row>
    <row r="6" spans="1:13" x14ac:dyDescent="0.25">
      <c r="A6" s="15" t="s">
        <v>949</v>
      </c>
      <c r="B6" t="s">
        <v>953</v>
      </c>
      <c r="D6" s="15" t="s">
        <v>0</v>
      </c>
      <c r="E6" t="s">
        <v>953</v>
      </c>
      <c r="G6" s="15" t="s">
        <v>942</v>
      </c>
      <c r="H6" t="s">
        <v>954</v>
      </c>
      <c r="I6" t="s">
        <v>953</v>
      </c>
      <c r="K6" s="15" t="s">
        <v>951</v>
      </c>
      <c r="L6" t="s">
        <v>953</v>
      </c>
      <c r="M6" t="s">
        <v>952</v>
      </c>
    </row>
    <row r="7" spans="1:13" x14ac:dyDescent="0.25">
      <c r="A7" s="16" t="s">
        <v>931</v>
      </c>
      <c r="B7">
        <v>65172000</v>
      </c>
      <c r="D7" s="16" t="s">
        <v>924</v>
      </c>
      <c r="E7">
        <v>774000</v>
      </c>
      <c r="G7" s="16" t="s">
        <v>117</v>
      </c>
      <c r="H7">
        <v>424</v>
      </c>
      <c r="I7">
        <v>99451500</v>
      </c>
      <c r="K7" s="16" t="s">
        <v>320</v>
      </c>
      <c r="L7">
        <v>21998500</v>
      </c>
      <c r="M7">
        <v>5</v>
      </c>
    </row>
    <row r="8" spans="1:13" x14ac:dyDescent="0.25">
      <c r="A8" s="16" t="s">
        <v>932</v>
      </c>
      <c r="B8">
        <v>82949500</v>
      </c>
      <c r="D8" s="16" t="s">
        <v>169</v>
      </c>
      <c r="E8">
        <v>3115500</v>
      </c>
      <c r="G8" s="16" t="s">
        <v>114</v>
      </c>
      <c r="H8">
        <v>381</v>
      </c>
      <c r="I8">
        <v>98037000</v>
      </c>
      <c r="K8" s="16" t="s">
        <v>360</v>
      </c>
      <c r="L8">
        <v>19269000</v>
      </c>
      <c r="M8">
        <v>6</v>
      </c>
    </row>
    <row r="9" spans="1:13" x14ac:dyDescent="0.25">
      <c r="A9" s="16" t="s">
        <v>933</v>
      </c>
      <c r="B9">
        <v>29101000</v>
      </c>
      <c r="D9" s="16" t="s">
        <v>207</v>
      </c>
      <c r="E9">
        <v>6830000</v>
      </c>
      <c r="G9" s="16" t="s">
        <v>119</v>
      </c>
      <c r="H9">
        <v>367</v>
      </c>
      <c r="I9">
        <v>80336500</v>
      </c>
      <c r="K9" s="16" t="s">
        <v>553</v>
      </c>
      <c r="L9">
        <v>16775000</v>
      </c>
      <c r="M9">
        <v>3</v>
      </c>
    </row>
    <row r="10" spans="1:13" x14ac:dyDescent="0.25">
      <c r="A10" s="16" t="s">
        <v>934</v>
      </c>
      <c r="B10">
        <v>41523000</v>
      </c>
      <c r="D10" s="16" t="s">
        <v>167</v>
      </c>
      <c r="E10">
        <v>13944000</v>
      </c>
      <c r="G10" s="16" t="s">
        <v>116</v>
      </c>
      <c r="H10">
        <v>442</v>
      </c>
      <c r="I10">
        <v>78564500</v>
      </c>
      <c r="K10" s="16" t="s">
        <v>332</v>
      </c>
      <c r="L10">
        <v>16035000</v>
      </c>
      <c r="M10">
        <v>4</v>
      </c>
    </row>
    <row r="11" spans="1:13" x14ac:dyDescent="0.25">
      <c r="A11" s="16" t="s">
        <v>903</v>
      </c>
      <c r="B11">
        <v>26374000</v>
      </c>
      <c r="D11" s="16" t="s">
        <v>926</v>
      </c>
      <c r="E11">
        <v>21840000</v>
      </c>
      <c r="G11" s="16" t="s">
        <v>879</v>
      </c>
      <c r="H11">
        <v>486</v>
      </c>
      <c r="I11">
        <v>66152000</v>
      </c>
      <c r="K11" s="16" t="s">
        <v>316</v>
      </c>
      <c r="L11">
        <v>14395000</v>
      </c>
      <c r="M11">
        <v>3</v>
      </c>
    </row>
    <row r="12" spans="1:13" x14ac:dyDescent="0.25">
      <c r="A12" s="16" t="s">
        <v>935</v>
      </c>
      <c r="B12">
        <v>31958000</v>
      </c>
      <c r="D12" s="16" t="s">
        <v>203</v>
      </c>
      <c r="E12">
        <v>24700000</v>
      </c>
      <c r="G12" s="16" t="s">
        <v>115</v>
      </c>
      <c r="H12">
        <v>298</v>
      </c>
      <c r="I12">
        <v>62499000</v>
      </c>
      <c r="K12" s="16" t="s">
        <v>358</v>
      </c>
      <c r="L12">
        <v>13750000</v>
      </c>
      <c r="M12">
        <v>4</v>
      </c>
    </row>
    <row r="13" spans="1:13" x14ac:dyDescent="0.25">
      <c r="A13" s="16" t="s">
        <v>936</v>
      </c>
      <c r="B13">
        <v>20044000</v>
      </c>
      <c r="D13" s="16" t="s">
        <v>174</v>
      </c>
      <c r="E13">
        <v>35197000</v>
      </c>
      <c r="G13" s="16" t="s">
        <v>930</v>
      </c>
      <c r="H13">
        <v>2398</v>
      </c>
      <c r="I13">
        <v>485040500</v>
      </c>
      <c r="K13" s="16" t="s">
        <v>430</v>
      </c>
      <c r="L13">
        <v>12207000</v>
      </c>
      <c r="M13">
        <v>5</v>
      </c>
    </row>
    <row r="14" spans="1:13" x14ac:dyDescent="0.25">
      <c r="A14" s="16" t="s">
        <v>937</v>
      </c>
      <c r="B14">
        <v>42525000</v>
      </c>
      <c r="D14" s="16" t="s">
        <v>163</v>
      </c>
      <c r="E14">
        <v>52446000</v>
      </c>
      <c r="K14" s="16" t="s">
        <v>318</v>
      </c>
      <c r="L14">
        <v>12185000</v>
      </c>
      <c r="M14">
        <v>3</v>
      </c>
    </row>
    <row r="15" spans="1:13" x14ac:dyDescent="0.25">
      <c r="A15" s="16" t="s">
        <v>938</v>
      </c>
      <c r="B15">
        <v>42907000</v>
      </c>
      <c r="D15" s="16" t="s">
        <v>927</v>
      </c>
      <c r="E15">
        <v>61022000</v>
      </c>
      <c r="K15" s="16" t="s">
        <v>268</v>
      </c>
      <c r="L15">
        <v>12172000</v>
      </c>
      <c r="M15">
        <v>4</v>
      </c>
    </row>
    <row r="16" spans="1:13" x14ac:dyDescent="0.25">
      <c r="A16" s="16" t="s">
        <v>939</v>
      </c>
      <c r="B16">
        <v>33901000</v>
      </c>
      <c r="D16" s="16" t="s">
        <v>152</v>
      </c>
      <c r="E16">
        <v>85798000</v>
      </c>
      <c r="G16" s="15" t="s">
        <v>950</v>
      </c>
      <c r="H16" t="s">
        <v>957</v>
      </c>
      <c r="K16" s="16" t="s">
        <v>370</v>
      </c>
      <c r="L16">
        <v>11735000</v>
      </c>
      <c r="M16">
        <v>3</v>
      </c>
    </row>
    <row r="17" spans="1:13" x14ac:dyDescent="0.25">
      <c r="A17" s="16" t="s">
        <v>940</v>
      </c>
      <c r="B17">
        <v>40845000</v>
      </c>
      <c r="D17" s="16" t="s">
        <v>133</v>
      </c>
      <c r="E17">
        <v>86180000</v>
      </c>
      <c r="G17" s="16" t="s">
        <v>641</v>
      </c>
      <c r="H17">
        <v>126087000</v>
      </c>
      <c r="K17" s="16" t="s">
        <v>930</v>
      </c>
      <c r="L17">
        <v>150521500</v>
      </c>
      <c r="M17">
        <v>40</v>
      </c>
    </row>
    <row r="18" spans="1:13" x14ac:dyDescent="0.25">
      <c r="A18" s="16" t="s">
        <v>941</v>
      </c>
      <c r="B18">
        <v>27741000</v>
      </c>
      <c r="D18" s="16" t="s">
        <v>925</v>
      </c>
      <c r="E18">
        <v>93194000</v>
      </c>
      <c r="G18" s="16" t="s">
        <v>645</v>
      </c>
      <c r="H18">
        <v>227321500</v>
      </c>
    </row>
    <row r="19" spans="1:13" x14ac:dyDescent="0.25">
      <c r="A19" s="16" t="s">
        <v>930</v>
      </c>
      <c r="B19">
        <v>485040500</v>
      </c>
      <c r="D19" s="16" t="s">
        <v>930</v>
      </c>
      <c r="E19">
        <v>485040500</v>
      </c>
      <c r="G19" s="16" t="s">
        <v>643</v>
      </c>
      <c r="H19">
        <v>131632000</v>
      </c>
    </row>
    <row r="20" spans="1:13" x14ac:dyDescent="0.25">
      <c r="G20" s="16" t="s">
        <v>930</v>
      </c>
      <c r="H20">
        <v>485040500</v>
      </c>
    </row>
  </sheetData>
  <mergeCells count="5">
    <mergeCell ref="A5:B5"/>
    <mergeCell ref="D5:E5"/>
    <mergeCell ref="G5:H5"/>
    <mergeCell ref="K5:L5"/>
    <mergeCell ref="C1:M3"/>
  </mergeCells>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B34D-45B6-4762-A021-1C0022DB2402}">
  <dimension ref="E1:Q27"/>
  <sheetViews>
    <sheetView showGridLines="0" tabSelected="1" topLeftCell="A2" zoomScale="89" zoomScaleNormal="89" workbookViewId="0">
      <selection activeCell="Q13" sqref="Q13"/>
    </sheetView>
  </sheetViews>
  <sheetFormatPr defaultRowHeight="15" x14ac:dyDescent="0.25"/>
  <cols>
    <col min="5" max="5" width="16.5703125" customWidth="1"/>
    <col min="6" max="6" width="16.42578125" bestFit="1" customWidth="1"/>
    <col min="7" max="7" width="14.140625" customWidth="1"/>
    <col min="8" max="8" width="11.5703125" customWidth="1"/>
    <col min="9" max="9" width="9.28515625" customWidth="1"/>
    <col min="10" max="10" width="10.5703125" customWidth="1"/>
    <col min="11" max="11" width="16.42578125" customWidth="1"/>
    <col min="12" max="12" width="13.28515625" customWidth="1"/>
    <col min="13" max="13" width="12.28515625" customWidth="1"/>
    <col min="14" max="14" width="16.7109375" bestFit="1" customWidth="1"/>
    <col min="15" max="15" width="11.5703125" customWidth="1"/>
    <col min="16" max="16" width="13.85546875" customWidth="1"/>
  </cols>
  <sheetData>
    <row r="1" spans="5:17" x14ac:dyDescent="0.25">
      <c r="E1" s="17"/>
      <c r="F1" s="17"/>
      <c r="G1" s="17"/>
      <c r="H1" s="17"/>
      <c r="I1" s="17"/>
      <c r="J1" s="17"/>
      <c r="K1" s="17"/>
      <c r="L1" s="17"/>
      <c r="M1" s="17"/>
      <c r="N1" s="17"/>
      <c r="O1" s="17"/>
      <c r="P1" s="17"/>
    </row>
    <row r="2" spans="5:17" ht="36" x14ac:dyDescent="0.55000000000000004">
      <c r="E2" s="30" t="s">
        <v>956</v>
      </c>
      <c r="F2" s="30"/>
      <c r="G2" s="30"/>
      <c r="H2" s="30"/>
      <c r="I2" s="30"/>
      <c r="J2" s="30"/>
      <c r="K2" s="30"/>
      <c r="L2" s="30"/>
      <c r="M2" s="30"/>
      <c r="N2" s="30"/>
      <c r="O2" s="30"/>
      <c r="P2" s="30"/>
      <c r="Q2" s="17"/>
    </row>
    <row r="3" spans="5:17" x14ac:dyDescent="0.25">
      <c r="E3" s="17"/>
      <c r="F3" s="17"/>
      <c r="G3" s="17"/>
      <c r="H3" s="17"/>
      <c r="I3" s="17"/>
      <c r="J3" s="17"/>
      <c r="K3" s="17"/>
      <c r="L3" s="17"/>
      <c r="M3" s="17"/>
      <c r="N3" s="17"/>
      <c r="O3" s="17"/>
      <c r="P3" s="17"/>
      <c r="Q3" s="17"/>
    </row>
    <row r="4" spans="5:17" x14ac:dyDescent="0.25">
      <c r="E4" s="17"/>
      <c r="F4" s="17"/>
      <c r="G4" s="17"/>
      <c r="H4" s="17"/>
      <c r="I4" s="17"/>
      <c r="J4" s="17"/>
      <c r="K4" s="17"/>
      <c r="L4" s="17"/>
      <c r="M4" s="17"/>
      <c r="N4" s="17"/>
      <c r="O4" s="17"/>
      <c r="P4" s="17"/>
      <c r="Q4" s="17"/>
    </row>
    <row r="5" spans="5:17" ht="36" x14ac:dyDescent="0.55000000000000004">
      <c r="E5" s="17"/>
      <c r="F5" s="18">
        <f>SUM(Sales!J:J)</f>
        <v>485040500</v>
      </c>
      <c r="G5" s="17"/>
      <c r="H5" s="19">
        <f>COUNTA(Sales!A:A)</f>
        <v>234</v>
      </c>
      <c r="I5" s="17"/>
      <c r="J5" s="17"/>
      <c r="K5" s="26">
        <f>AVERAGE(Sales!J:J)</f>
        <v>2081718.8841201717</v>
      </c>
      <c r="L5" s="17"/>
      <c r="M5" s="17"/>
      <c r="N5" s="21">
        <f>SUM(tblSales[Profit])</f>
        <v>138769000</v>
      </c>
      <c r="O5" s="17"/>
      <c r="P5" s="17"/>
      <c r="Q5" s="17"/>
    </row>
    <row r="6" spans="5:17" ht="21" x14ac:dyDescent="0.35">
      <c r="E6" s="17"/>
      <c r="F6" s="17"/>
      <c r="G6" s="20"/>
      <c r="H6" s="17"/>
      <c r="I6" s="17"/>
      <c r="J6" s="17"/>
      <c r="K6" s="17"/>
      <c r="L6" s="17"/>
      <c r="M6" s="17"/>
      <c r="N6" s="17"/>
      <c r="O6" s="17"/>
      <c r="P6" s="17"/>
      <c r="Q6" s="17"/>
    </row>
    <row r="7" spans="5:17" x14ac:dyDescent="0.25">
      <c r="E7" s="17"/>
      <c r="F7" s="17"/>
      <c r="G7" s="17"/>
      <c r="H7" s="17"/>
      <c r="I7" s="17"/>
      <c r="J7" s="17"/>
      <c r="K7" s="17"/>
      <c r="L7" s="17"/>
      <c r="M7" s="17"/>
      <c r="N7" s="17"/>
      <c r="O7" s="17"/>
      <c r="P7" s="17"/>
      <c r="Q7" s="17"/>
    </row>
    <row r="8" spans="5:17" x14ac:dyDescent="0.25">
      <c r="E8" s="17"/>
      <c r="F8" s="17"/>
      <c r="G8" s="17"/>
      <c r="H8" s="17"/>
      <c r="I8" s="17"/>
      <c r="J8" s="17"/>
      <c r="K8" s="17"/>
      <c r="L8" s="17"/>
      <c r="M8" s="17"/>
      <c r="N8" s="17"/>
      <c r="O8" s="17"/>
      <c r="P8" s="17"/>
      <c r="Q8" s="17"/>
    </row>
    <row r="9" spans="5:17" x14ac:dyDescent="0.25">
      <c r="E9" s="17"/>
      <c r="F9" s="17"/>
      <c r="G9" s="17"/>
      <c r="H9" s="17"/>
      <c r="I9" s="17"/>
      <c r="J9" s="17"/>
      <c r="K9" s="17"/>
      <c r="L9" s="17"/>
      <c r="M9" s="17"/>
      <c r="N9" s="17"/>
      <c r="O9" s="17"/>
      <c r="P9" s="17"/>
      <c r="Q9" s="17"/>
    </row>
    <row r="10" spans="5:17" x14ac:dyDescent="0.25">
      <c r="E10" s="17"/>
      <c r="F10" s="17"/>
      <c r="G10" s="17"/>
      <c r="H10" s="17"/>
      <c r="I10" s="17"/>
      <c r="J10" s="17"/>
      <c r="K10" s="17"/>
      <c r="L10" s="17"/>
      <c r="M10" s="17"/>
      <c r="N10" s="17"/>
      <c r="O10" s="17"/>
      <c r="P10" s="17"/>
      <c r="Q10" s="17"/>
    </row>
    <row r="11" spans="5:17" x14ac:dyDescent="0.25">
      <c r="E11" s="17"/>
      <c r="F11" s="17"/>
      <c r="G11" s="17"/>
      <c r="H11" s="17"/>
      <c r="I11" s="17"/>
      <c r="J11" s="17"/>
      <c r="K11" s="17"/>
      <c r="L11" s="17"/>
      <c r="M11" s="17"/>
      <c r="N11" s="17"/>
      <c r="O11" s="17"/>
      <c r="P11" s="17"/>
      <c r="Q11" s="17"/>
    </row>
    <row r="12" spans="5:17" x14ac:dyDescent="0.25">
      <c r="E12" s="17"/>
      <c r="F12" s="17"/>
      <c r="G12" s="17"/>
      <c r="H12" s="17"/>
      <c r="I12" s="17"/>
      <c r="J12" s="17"/>
      <c r="K12" s="17"/>
      <c r="L12" s="17"/>
      <c r="M12" s="17"/>
      <c r="N12" s="17"/>
      <c r="O12" s="17"/>
      <c r="P12" s="17"/>
      <c r="Q12" s="17"/>
    </row>
    <row r="13" spans="5:17" x14ac:dyDescent="0.25">
      <c r="E13" s="17"/>
      <c r="F13" s="17"/>
      <c r="G13" s="17"/>
      <c r="H13" s="17"/>
      <c r="I13" s="17"/>
      <c r="J13" s="17"/>
      <c r="K13" s="17"/>
      <c r="L13" s="17"/>
      <c r="M13" s="17"/>
      <c r="N13" s="17"/>
      <c r="O13" s="17"/>
      <c r="P13" s="17"/>
      <c r="Q13" s="17"/>
    </row>
    <row r="14" spans="5:17" x14ac:dyDescent="0.25">
      <c r="E14" s="17"/>
      <c r="F14" s="17"/>
      <c r="G14" s="17"/>
      <c r="H14" s="17"/>
      <c r="I14" s="17"/>
      <c r="J14" s="17"/>
      <c r="K14" s="17"/>
      <c r="L14" s="17"/>
      <c r="M14" s="17"/>
      <c r="N14" s="17"/>
      <c r="O14" s="17"/>
      <c r="P14" s="17"/>
      <c r="Q14" s="17"/>
    </row>
    <row r="15" spans="5:17" x14ac:dyDescent="0.25">
      <c r="E15" s="17"/>
      <c r="F15" s="17"/>
      <c r="G15" s="17"/>
      <c r="H15" s="17"/>
      <c r="I15" s="17"/>
      <c r="J15" s="17"/>
      <c r="K15" s="17"/>
      <c r="L15" s="17"/>
      <c r="M15" s="17"/>
      <c r="N15" s="17"/>
      <c r="O15" s="17"/>
      <c r="P15" s="17"/>
      <c r="Q15" s="17"/>
    </row>
    <row r="16" spans="5:17" x14ac:dyDescent="0.25">
      <c r="E16" s="17"/>
      <c r="F16" s="17"/>
      <c r="G16" s="17"/>
      <c r="H16" s="17"/>
      <c r="I16" s="17"/>
      <c r="J16" s="17"/>
      <c r="K16" s="17"/>
      <c r="L16" s="17"/>
      <c r="M16" s="17"/>
      <c r="N16" s="17"/>
      <c r="O16" s="17"/>
      <c r="P16" s="17"/>
      <c r="Q16" s="17"/>
    </row>
    <row r="17" spans="5:17" x14ac:dyDescent="0.25">
      <c r="E17" s="17"/>
      <c r="F17" s="17"/>
      <c r="G17" s="17"/>
      <c r="H17" s="17"/>
      <c r="I17" s="17"/>
      <c r="J17" s="17"/>
      <c r="K17" s="17"/>
      <c r="L17" s="17"/>
      <c r="M17" s="17"/>
      <c r="N17" s="17"/>
      <c r="O17" s="17"/>
      <c r="P17" s="17"/>
      <c r="Q17" s="17"/>
    </row>
    <row r="18" spans="5:17" x14ac:dyDescent="0.25">
      <c r="E18" s="17"/>
      <c r="F18" s="17"/>
      <c r="G18" s="17"/>
      <c r="H18" s="17"/>
      <c r="I18" s="17"/>
      <c r="J18" s="17"/>
      <c r="K18" s="17"/>
      <c r="L18" s="17"/>
      <c r="M18" s="17"/>
      <c r="N18" s="17"/>
      <c r="O18" s="17"/>
      <c r="P18" s="17"/>
      <c r="Q18" s="17"/>
    </row>
    <row r="19" spans="5:17" x14ac:dyDescent="0.25">
      <c r="E19" s="17"/>
      <c r="F19" s="17"/>
      <c r="G19" s="17"/>
      <c r="H19" s="17"/>
      <c r="I19" s="17"/>
      <c r="J19" s="17"/>
      <c r="K19" s="17"/>
      <c r="L19" s="17"/>
      <c r="M19" s="17"/>
      <c r="N19" s="17"/>
      <c r="O19" s="17"/>
      <c r="P19" s="17"/>
      <c r="Q19" s="17"/>
    </row>
    <row r="20" spans="5:17" x14ac:dyDescent="0.25">
      <c r="E20" s="17"/>
      <c r="F20" s="17"/>
      <c r="G20" s="17"/>
      <c r="H20" s="17"/>
      <c r="I20" s="17"/>
      <c r="J20" s="17"/>
      <c r="K20" s="17"/>
      <c r="L20" s="17"/>
      <c r="M20" s="17"/>
      <c r="N20" s="17"/>
      <c r="O20" s="17"/>
      <c r="P20" s="17"/>
      <c r="Q20" s="17"/>
    </row>
    <row r="21" spans="5:17" x14ac:dyDescent="0.25">
      <c r="E21" s="17"/>
      <c r="F21" s="17"/>
      <c r="G21" s="17"/>
      <c r="H21" s="17"/>
      <c r="I21" s="17"/>
      <c r="J21" s="17"/>
      <c r="K21" s="17"/>
      <c r="L21" s="17"/>
      <c r="M21" s="17"/>
      <c r="N21" s="17"/>
      <c r="O21" s="17"/>
      <c r="P21" s="17"/>
      <c r="Q21" s="17"/>
    </row>
    <row r="22" spans="5:17" x14ac:dyDescent="0.25">
      <c r="E22" s="17"/>
      <c r="F22" s="17"/>
      <c r="G22" s="17"/>
      <c r="H22" s="17"/>
      <c r="I22" s="17"/>
      <c r="J22" s="17"/>
      <c r="K22" s="17"/>
      <c r="L22" s="17"/>
      <c r="M22" s="17"/>
      <c r="N22" s="17"/>
      <c r="O22" s="17"/>
      <c r="P22" s="17"/>
      <c r="Q22" s="17"/>
    </row>
    <row r="23" spans="5:17" x14ac:dyDescent="0.25">
      <c r="E23" s="17"/>
      <c r="F23" s="17"/>
      <c r="G23" s="17"/>
      <c r="H23" s="17"/>
      <c r="I23" s="17"/>
      <c r="J23" s="17"/>
      <c r="K23" s="17"/>
      <c r="L23" s="17"/>
      <c r="M23" s="17"/>
      <c r="N23" s="17"/>
      <c r="O23" s="17"/>
      <c r="P23" s="17"/>
      <c r="Q23" s="17"/>
    </row>
    <row r="24" spans="5:17" x14ac:dyDescent="0.25">
      <c r="E24" s="17"/>
      <c r="F24" s="17"/>
      <c r="G24" s="17"/>
      <c r="H24" s="17"/>
      <c r="I24" s="17"/>
      <c r="J24" s="17"/>
      <c r="K24" s="17"/>
      <c r="L24" s="17"/>
      <c r="M24" s="17"/>
      <c r="N24" s="17"/>
      <c r="O24" s="17"/>
      <c r="P24" s="17"/>
      <c r="Q24" s="17"/>
    </row>
    <row r="25" spans="5:17" x14ac:dyDescent="0.25">
      <c r="E25" s="17"/>
      <c r="F25" s="17"/>
      <c r="G25" s="17"/>
      <c r="H25" s="17"/>
      <c r="I25" s="17"/>
      <c r="J25" s="17"/>
      <c r="K25" s="17"/>
      <c r="L25" s="17"/>
      <c r="M25" s="17"/>
      <c r="N25" s="17"/>
      <c r="O25" s="17"/>
      <c r="P25" s="17"/>
      <c r="Q25" s="17"/>
    </row>
    <row r="26" spans="5:17" x14ac:dyDescent="0.25">
      <c r="E26" s="17"/>
      <c r="F26" s="17"/>
      <c r="G26" s="17"/>
      <c r="H26" s="17"/>
      <c r="I26" s="17"/>
      <c r="J26" s="17"/>
      <c r="K26" s="17"/>
      <c r="L26" s="17"/>
      <c r="M26" s="17"/>
      <c r="N26" s="17"/>
      <c r="O26" s="17"/>
      <c r="P26" s="17"/>
      <c r="Q26" s="17"/>
    </row>
    <row r="27" spans="5:17" x14ac:dyDescent="0.25">
      <c r="E27" s="17"/>
      <c r="F27" s="17"/>
      <c r="G27" s="17"/>
      <c r="H27" s="17"/>
      <c r="I27" s="17"/>
      <c r="J27" s="17"/>
      <c r="K27" s="17"/>
      <c r="L27" s="17"/>
      <c r="M27" s="17"/>
      <c r="N27" s="17"/>
      <c r="O27" s="17"/>
      <c r="P27" s="17"/>
      <c r="Q27" s="17"/>
    </row>
  </sheetData>
  <mergeCells count="1">
    <mergeCell ref="E2: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AECD9DA-2C9D-4299-A93F-B0D5AAEB5270}">
  <ds:schemaRefs/>
</ds:datastoreItem>
</file>

<file path=customXml/itemProps2.xml><?xml version="1.0" encoding="utf-8"?>
<ds:datastoreItem xmlns:ds="http://schemas.openxmlformats.org/officeDocument/2006/customXml" ds:itemID="{9A7E801E-0AE7-443F-B6C5-9231400EAC41}">
  <ds:schemaRefs/>
</ds:datastoreItem>
</file>

<file path=customXml/itemProps3.xml><?xml version="1.0" encoding="utf-8"?>
<ds:datastoreItem xmlns:ds="http://schemas.openxmlformats.org/officeDocument/2006/customXml" ds:itemID="{E0DD65EB-B6E6-4030-8DCB-20495BE9ABBF}">
  <ds:schemaRefs/>
</ds:datastoreItem>
</file>

<file path=customXml/itemProps4.xml><?xml version="1.0" encoding="utf-8"?>
<ds:datastoreItem xmlns:ds="http://schemas.openxmlformats.org/officeDocument/2006/customXml" ds:itemID="{2A7C4638-C65A-42AD-B519-2EA57BCA4A2C}">
  <ds:schemaRefs/>
</ds:datastoreItem>
</file>

<file path=customXml/itemProps5.xml><?xml version="1.0" encoding="utf-8"?>
<ds:datastoreItem xmlns:ds="http://schemas.openxmlformats.org/officeDocument/2006/customXml" ds:itemID="{1EDDA010-BA84-4A1D-9518-AC4024DC5202}">
  <ds:schemaRefs/>
</ds:datastoreItem>
</file>

<file path=customXml/itemProps6.xml><?xml version="1.0" encoding="utf-8"?>
<ds:datastoreItem xmlns:ds="http://schemas.openxmlformats.org/officeDocument/2006/customXml" ds:itemID="{22EC0237-21BD-4F93-9C60-8F1496198040}">
  <ds:schemaRefs/>
</ds:datastoreItem>
</file>

<file path=customXml/itemProps7.xml><?xml version="1.0" encoding="utf-8"?>
<ds:datastoreItem xmlns:ds="http://schemas.openxmlformats.org/officeDocument/2006/customXml" ds:itemID="{4DE9040D-56D9-4D35-8894-1DDF3EFF2A56}">
  <ds:schemaRefs/>
</ds:datastoreItem>
</file>

<file path=customXml/itemProps8.xml><?xml version="1.0" encoding="utf-8"?>
<ds:datastoreItem xmlns:ds="http://schemas.openxmlformats.org/officeDocument/2006/customXml" ds:itemID="{685FD739-F89F-42DC-8673-9D03A5189B36}">
  <ds:schemaRefs/>
</ds:datastoreItem>
</file>

<file path=customXml/itemProps9.xml><?xml version="1.0" encoding="utf-8"?>
<ds:datastoreItem xmlns:ds="http://schemas.openxmlformats.org/officeDocument/2006/customXml" ds:itemID="{C45A1F13-9726-420C-943F-32FF63DFE189}">
  <ds:schemaRefs/>
</ds:datastoreItem>
</file>

<file path=customXml/itemProps10.xml><?xml version="1.0" encoding="utf-8"?>
<ds:datastoreItem xmlns:ds="http://schemas.openxmlformats.org/officeDocument/2006/customXml" ds:itemID="{47B29A48-947C-4A9C-ADE1-11286DBFDB64}">
  <ds:schemaRefs/>
</ds:datastoreItem>
</file>

<file path=customXml/itemProps11.xml><?xml version="1.0" encoding="utf-8"?>
<ds:datastoreItem xmlns:ds="http://schemas.openxmlformats.org/officeDocument/2006/customXml" ds:itemID="{E68E4528-F352-474F-B3DD-E76A17491436}">
  <ds:schemaRefs/>
</ds:datastoreItem>
</file>

<file path=customXml/itemProps12.xml><?xml version="1.0" encoding="utf-8"?>
<ds:datastoreItem xmlns:ds="http://schemas.openxmlformats.org/officeDocument/2006/customXml" ds:itemID="{1CD5D72D-91EC-48F6-9E36-66B84A423213}">
  <ds:schemaRefs/>
</ds:datastoreItem>
</file>

<file path=customXml/itemProps13.xml><?xml version="1.0" encoding="utf-8"?>
<ds:datastoreItem xmlns:ds="http://schemas.openxmlformats.org/officeDocument/2006/customXml" ds:itemID="{F55AF53A-88EF-4287-BC5B-315BB979EBD0}">
  <ds:schemaRefs/>
</ds:datastoreItem>
</file>

<file path=customXml/itemProps14.xml><?xml version="1.0" encoding="utf-8"?>
<ds:datastoreItem xmlns:ds="http://schemas.openxmlformats.org/officeDocument/2006/customXml" ds:itemID="{72FDDC22-9F2A-4E2B-8D9D-A755B59772CA}">
  <ds:schemaRefs/>
</ds:datastoreItem>
</file>

<file path=customXml/itemProps15.xml><?xml version="1.0" encoding="utf-8"?>
<ds:datastoreItem xmlns:ds="http://schemas.openxmlformats.org/officeDocument/2006/customXml" ds:itemID="{AC7AC539-36D3-495A-A169-1E6CECAEB4DA}">
  <ds:schemaRefs/>
</ds:datastoreItem>
</file>

<file path=customXml/itemProps16.xml><?xml version="1.0" encoding="utf-8"?>
<ds:datastoreItem xmlns:ds="http://schemas.openxmlformats.org/officeDocument/2006/customXml" ds:itemID="{02A53ABB-BC0A-408C-849B-6179F22EC677}">
  <ds:schemaRefs/>
</ds:datastoreItem>
</file>

<file path=customXml/itemProps17.xml><?xml version="1.0" encoding="utf-8"?>
<ds:datastoreItem xmlns:ds="http://schemas.openxmlformats.org/officeDocument/2006/customXml" ds:itemID="{BFD80494-2F1E-45D5-ACD6-85DF3D11B822}">
  <ds:schemaRefs/>
</ds:datastoreItem>
</file>

<file path=customXml/itemProps18.xml><?xml version="1.0" encoding="utf-8"?>
<ds:datastoreItem xmlns:ds="http://schemas.openxmlformats.org/officeDocument/2006/customXml" ds:itemID="{DF21337C-D796-428E-B3F3-BCF1AD97D0E5}">
  <ds:schemaRefs/>
</ds:datastoreItem>
</file>

<file path=customXml/itemProps19.xml><?xml version="1.0" encoding="utf-8"?>
<ds:datastoreItem xmlns:ds="http://schemas.openxmlformats.org/officeDocument/2006/customXml" ds:itemID="{F76492F2-2E57-4A5D-B9FB-2DF1D589D5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Sales</vt:lpstr>
      <vt:lpstr>Products</vt:lpstr>
      <vt:lpstr>Customers</vt:lpstr>
      <vt:lpstr>Calendar</vt:lpstr>
      <vt:lpstr>Sales_Pivots</vt:lpstr>
      <vt:lpstr>Sales_Dashboard</vt:lpstr>
      <vt:lpstr>Average_Sales</vt:lpstr>
      <vt:lpstr>Profit</vt:lpstr>
      <vt:lpstr>Total_Order</vt:lpstr>
      <vt:lpstr>Total_Sales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 Alu Markus</dc:creator>
  <cp:lastModifiedBy>Naomi Alu Markus</cp:lastModifiedBy>
  <cp:lastPrinted>2025-12-19T05:03:34Z</cp:lastPrinted>
  <dcterms:created xsi:type="dcterms:W3CDTF">2025-12-16T13:04:47Z</dcterms:created>
  <dcterms:modified xsi:type="dcterms:W3CDTF">2026-04-08T19:35:56Z</dcterms:modified>
</cp:coreProperties>
</file>